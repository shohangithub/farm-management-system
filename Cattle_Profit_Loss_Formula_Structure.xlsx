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Daily Projection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<sst xmlns="http://schemas.openxmlformats.org/spreadsheetml/2006/main" count="62" uniqueCount="57">
  <si>
    <t>Parameter</t>
  </si>
  <si>
    <t>Value</t>
  </si>
  <si>
    <t>Unit / Note</t>
  </si>
  <si>
    <t>Starting live weight</t>
  </si>
  <si>
    <t>kg</t>
  </si>
  <si>
    <t>Purchase price</t>
  </si>
  <si>
    <t>BDT</t>
  </si>
  <si>
    <t>Current meat price</t>
  </si>
  <si>
    <t>BDT/kg</t>
  </si>
  <si>
    <t>Initial meat yield</t>
  </si>
  <si>
    <t>50% of live weight</t>
  </si>
  <si>
    <t>Daily live-weight gain</t>
  </si>
  <si>
    <t>kg/day</t>
  </si>
  <si>
    <t>Meat yield on daily gain</t>
  </si>
  <si>
    <t>0.35 kg meat from 0.70 kg live gain</t>
  </si>
  <si>
    <t>Daily feed quantity</t>
  </si>
  <si>
    <t>Feed price</t>
  </si>
  <si>
    <t>Daily grass cost</t>
  </si>
  <si>
    <t>BDT/day</t>
  </si>
  <si>
    <t>Daily other cost</t>
  </si>
  <si>
    <t>Monthly labor cost</t>
  </si>
  <si>
    <t>BDT/month</t>
  </si>
  <si>
    <t>Fattening period</t>
  </si>
  <si>
    <t>days</t>
  </si>
  <si>
    <t>Day</t>
  </si>
  <si>
    <t>Live Weight (kg)</t>
  </si>
  <si>
    <t>Meat Weight (kg)</t>
  </si>
  <si>
    <t>Feed Qty (kg)</t>
  </si>
  <si>
    <t>Feed Cost (BDT)</t>
  </si>
  <si>
    <t>Grass Cost</t>
  </si>
  <si>
    <t>Other Cost</t>
  </si>
  <si>
    <t>Labor Cost</t>
  </si>
  <si>
    <t>Daily Total Cost</t>
  </si>
  <si>
    <t>Meat Gain (kg)</t>
  </si>
  <si>
    <t>Meat Value (BDT)</t>
  </si>
  <si>
    <t>Cumulative Cost</t>
  </si>
  <si>
    <t>Total Investment</t>
  </si>
  <si>
    <t>Profit / Loss</t>
  </si>
  <si>
    <t>Profit %</t>
  </si>
  <si>
    <t>Metric</t>
  </si>
  <si>
    <t>Formula / Result</t>
  </si>
  <si>
    <t>Starting weight</t>
  </si>
  <si>
    <t>Final weight</t>
  </si>
  <si>
    <t>Total weight gain</t>
  </si>
  <si>
    <t>Purchase cost</t>
  </si>
  <si>
    <t>Total feed cost</t>
  </si>
  <si>
    <t>Total grass cost</t>
  </si>
  <si>
    <t>Total other cost</t>
  </si>
  <si>
    <t>Total labor cost</t>
  </si>
  <si>
    <t>Total farming cost</t>
  </si>
  <si>
    <t>Total investment</t>
  </si>
  <si>
    <t>Final meat weight</t>
  </si>
  <si>
    <t>Expected sale value</t>
  </si>
  <si>
    <t>Break-even selling price / live kg</t>
  </si>
  <si>
    <t>Selling price / meat kg used in PDF</t>
  </si>
  <si>
    <t>PDF note</t>
  </si>
  <si>
    <t>The PDF shows 283.3 kg on day 120 and a final value around 96,798 BDT. The clean formula used here is final live weight × 50% meat yield × 680 BDT/kg.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</si>
</sst>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</fills>
  <borders count="2">
    <border/>
    <border>
      <bottom style="thin">
        <color rgb="FFB7B7B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4" xfId="0" applyAlignment="1" applyBorder="1" applyFont="1" applyNumberFormat="1">
      <alignment vertical="center"/>
    </xf>
    <xf borderId="1" fillId="0" fontId="2" numFmtId="9" xfId="0" applyAlignment="1" applyBorder="1" applyFont="1" applyNumberFormat="1">
      <alignment vertical="center"/>
    </xf>
    <xf borderId="1" fillId="0" fontId="2" numFmtId="4" xfId="0" applyAlignment="1" applyBorder="1" applyFont="1" applyNumberFormat="1">
      <alignment readingOrder="0" vertical="center"/>
    </xf>
    <xf borderId="1" fillId="0" fontId="2" numFmtId="10" xfId="0" applyAlignment="1" applyBorder="1" applyFont="1" applyNumberFormat="1">
      <alignment vertical="center"/>
    </xf>
    <xf borderId="1" fillId="3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0.22"/>
    <col customWidth="1" min="2" max="2" width="9.33"/>
    <col customWidth="1" min="3" max="3" width="21.78"/>
    <col customWidth="1" min="4" max="11" width="6.7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200.0</v>
      </c>
      <c r="C2" s="2" t="s">
        <v>4</v>
      </c>
    </row>
    <row r="3">
      <c r="A3" s="2" t="s">
        <v>5</v>
      </c>
      <c r="B3" s="3">
        <v>80000.0</v>
      </c>
      <c r="C3" s="2" t="s">
        <v>6</v>
      </c>
    </row>
    <row r="4">
      <c r="A4" s="2" t="s">
        <v>7</v>
      </c>
      <c r="B4" s="3">
        <v>680.0</v>
      </c>
      <c r="C4" s="2" t="s">
        <v>8</v>
      </c>
    </row>
    <row r="5">
      <c r="A5" s="2" t="s">
        <v>9</v>
      </c>
      <c r="B5" s="4">
        <v>0.5</v>
      </c>
      <c r="C5" s="2" t="s">
        <v>10</v>
      </c>
    </row>
    <row r="6">
      <c r="A6" s="2" t="s">
        <v>11</v>
      </c>
      <c r="B6" s="3">
        <v>0.7</v>
      </c>
      <c r="C6" s="2" t="s">
        <v>12</v>
      </c>
    </row>
    <row r="7">
      <c r="A7" s="2" t="s">
        <v>13</v>
      </c>
      <c r="B7" s="4">
        <v>0.5</v>
      </c>
      <c r="C7" s="2" t="s">
        <v>14</v>
      </c>
    </row>
    <row r="8">
      <c r="A8" s="2" t="s">
        <v>15</v>
      </c>
      <c r="B8" s="3">
        <v>3.0</v>
      </c>
      <c r="C8" s="2" t="s">
        <v>12</v>
      </c>
    </row>
    <row r="9">
      <c r="A9" s="2" t="s">
        <v>16</v>
      </c>
      <c r="B9" s="3">
        <v>44.3</v>
      </c>
      <c r="C9" s="2" t="s">
        <v>8</v>
      </c>
    </row>
    <row r="10">
      <c r="A10" s="2" t="s">
        <v>17</v>
      </c>
      <c r="B10" s="3">
        <v>20.0</v>
      </c>
      <c r="C10" s="2" t="s">
        <v>18</v>
      </c>
    </row>
    <row r="11">
      <c r="A11" s="2" t="s">
        <v>19</v>
      </c>
      <c r="B11" s="3">
        <v>30.0</v>
      </c>
      <c r="C11" s="2" t="s">
        <v>18</v>
      </c>
    </row>
    <row r="12">
      <c r="A12" s="2" t="s">
        <v>20</v>
      </c>
      <c r="B12" s="5">
        <v>1500.0</v>
      </c>
      <c r="C12" s="2" t="s">
        <v>21</v>
      </c>
    </row>
    <row r="13">
      <c r="A13" s="2" t="s">
        <v>22</v>
      </c>
      <c r="B13" s="3">
        <v>120.0</v>
      </c>
      <c r="C13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33"/>
    <col customWidth="1" min="2" max="2" width="21.78"/>
    <col customWidth="1" min="3" max="3" width="14.0"/>
    <col customWidth="1" min="4" max="4" width="21.78"/>
    <col customWidth="1" min="5" max="5" width="14.0"/>
    <col customWidth="1" min="6" max="7" width="11.67"/>
    <col customWidth="1" min="8" max="9" width="14.0"/>
    <col customWidth="1" min="10" max="10" width="20.22"/>
    <col customWidth="1" min="11" max="11" width="14.0"/>
    <col customWidth="1" min="12" max="12" width="13.22"/>
    <col customWidth="1" min="13" max="13" width="14.0"/>
    <col customWidth="1" min="14" max="14" width="11.67"/>
    <col customWidth="1" min="15" max="15" width="17.1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>
      <c r="A2" s="2">
        <v>1.0</v>
      </c>
      <c r="B2" s="3" t="str">
        <f>Inputs!$B$2+Inputs!$B$6*A2</f>
        <v>200.70</v>
      </c>
      <c r="C2" s="3" t="str">
        <f>B2*Inputs!$B$5</f>
        <v>100.35</v>
      </c>
      <c r="D2" s="3" t="str">
        <f>Inputs!$B$8*(B2/Inputs!$B$2)</f>
        <v>3.01</v>
      </c>
      <c r="E2" s="3" t="str">
        <f>D2*Inputs!$B$9</f>
        <v>133.37</v>
      </c>
      <c r="F2" s="3" t="str">
        <f>Inputs!$B$10</f>
        <v>20.00</v>
      </c>
      <c r="G2" s="3" t="str">
        <f>Inputs!$B$11</f>
        <v>30.00</v>
      </c>
      <c r="H2" s="3" t="str">
        <f>Inputs!$B$12/30</f>
        <v>50.00</v>
      </c>
      <c r="I2" s="3" t="str">
        <f t="shared" ref="I2:I121" si="1">SUM(E2:H2)</f>
        <v>233.37</v>
      </c>
      <c r="J2" s="3" t="str">
        <f>Inputs!$B$6*Inputs!$B$7</f>
        <v>0.35</v>
      </c>
      <c r="K2" s="3" t="str">
        <f>C2*Inputs!$B$4</f>
        <v>68,238.00</v>
      </c>
      <c r="L2" s="3" t="str">
        <f t="shared" ref="L2:L121" si="2">SUM($I$2:I2)</f>
        <v>233.37</v>
      </c>
      <c r="M2" s="3" t="str">
        <f>Inputs!$B$3+L2</f>
        <v>80,233.37</v>
      </c>
      <c r="N2" s="3" t="str">
        <f t="shared" ref="N2:N121" si="3">K2-M2</f>
        <v>-11,995.37</v>
      </c>
      <c r="O2" s="6" t="str">
        <f t="shared" ref="O2:O121" si="4">IF(M2=0,0,N2/M2)</f>
        <v>-14.95%</v>
      </c>
    </row>
    <row r="3">
      <c r="A3" s="2">
        <v>2.0</v>
      </c>
      <c r="B3" s="3" t="str">
        <f>Inputs!$B$2+Inputs!$B$6*A3</f>
        <v>201.40</v>
      </c>
      <c r="C3" s="3" t="str">
        <f>B3*Inputs!$B$5</f>
        <v>100.70</v>
      </c>
      <c r="D3" s="3" t="str">
        <f>Inputs!$B$8*(B3/Inputs!$B$2)</f>
        <v>3.02</v>
      </c>
      <c r="E3" s="3" t="str">
        <f>D3*Inputs!$B$9</f>
        <v>133.83</v>
      </c>
      <c r="F3" s="3" t="str">
        <f>Inputs!$B$10</f>
        <v>20.00</v>
      </c>
      <c r="G3" s="3" t="str">
        <f>Inputs!$B$11</f>
        <v>30.00</v>
      </c>
      <c r="H3" s="3" t="str">
        <f>Inputs!$B$12/30</f>
        <v>50.00</v>
      </c>
      <c r="I3" s="3" t="str">
        <f t="shared" si="1"/>
        <v>233.83</v>
      </c>
      <c r="J3" s="3" t="str">
        <f>Inputs!$B$6*Inputs!$B$7</f>
        <v>0.35</v>
      </c>
      <c r="K3" s="3" t="str">
        <f>C3*Inputs!$B$4</f>
        <v>68,476.00</v>
      </c>
      <c r="L3" s="3" t="str">
        <f t="shared" si="2"/>
        <v>467.20</v>
      </c>
      <c r="M3" s="3" t="str">
        <f>Inputs!$B$3+L3</f>
        <v>80,467.20</v>
      </c>
      <c r="N3" s="3" t="str">
        <f t="shared" si="3"/>
        <v>-11,991.20</v>
      </c>
      <c r="O3" s="6" t="str">
        <f t="shared" si="4"/>
        <v>-14.90%</v>
      </c>
    </row>
    <row r="4">
      <c r="A4" s="2">
        <v>3.0</v>
      </c>
      <c r="B4" s="3" t="str">
        <f>Inputs!$B$2+Inputs!$B$6*A4</f>
        <v>202.10</v>
      </c>
      <c r="C4" s="3" t="str">
        <f>B4*Inputs!$B$5</f>
        <v>101.05</v>
      </c>
      <c r="D4" s="3" t="str">
        <f>Inputs!$B$8*(B4/Inputs!$B$2)</f>
        <v>3.03</v>
      </c>
      <c r="E4" s="3" t="str">
        <f>D4*Inputs!$B$9</f>
        <v>134.30</v>
      </c>
      <c r="F4" s="3" t="str">
        <f>Inputs!$B$10</f>
        <v>20.00</v>
      </c>
      <c r="G4" s="3" t="str">
        <f>Inputs!$B$11</f>
        <v>30.00</v>
      </c>
      <c r="H4" s="3" t="str">
        <f>Inputs!$B$12/30</f>
        <v>50.00</v>
      </c>
      <c r="I4" s="3" t="str">
        <f t="shared" si="1"/>
        <v>234.30</v>
      </c>
      <c r="J4" s="3" t="str">
        <f>Inputs!$B$6*Inputs!$B$7</f>
        <v>0.35</v>
      </c>
      <c r="K4" s="3" t="str">
        <f>C4*Inputs!$B$4</f>
        <v>68,714.00</v>
      </c>
      <c r="L4" s="3" t="str">
        <f t="shared" si="2"/>
        <v>701.49</v>
      </c>
      <c r="M4" s="3" t="str">
        <f>Inputs!$B$3+L4</f>
        <v>80,701.49</v>
      </c>
      <c r="N4" s="3" t="str">
        <f t="shared" si="3"/>
        <v>-11,987.49</v>
      </c>
      <c r="O4" s="6" t="str">
        <f t="shared" si="4"/>
        <v>-14.85%</v>
      </c>
    </row>
    <row r="5">
      <c r="A5" s="2">
        <v>4.0</v>
      </c>
      <c r="B5" s="3" t="str">
        <f>Inputs!$B$2+Inputs!$B$6*A5</f>
        <v>202.80</v>
      </c>
      <c r="C5" s="3" t="str">
        <f>B5*Inputs!$B$5</f>
        <v>101.40</v>
      </c>
      <c r="D5" s="3" t="str">
        <f>Inputs!$B$8*(B5/Inputs!$B$2)</f>
        <v>3.04</v>
      </c>
      <c r="E5" s="3" t="str">
        <f>D5*Inputs!$B$9</f>
        <v>134.76</v>
      </c>
      <c r="F5" s="3" t="str">
        <f>Inputs!$B$10</f>
        <v>20.00</v>
      </c>
      <c r="G5" s="3" t="str">
        <f>Inputs!$B$11</f>
        <v>30.00</v>
      </c>
      <c r="H5" s="3" t="str">
        <f>Inputs!$B$12/30</f>
        <v>50.00</v>
      </c>
      <c r="I5" s="3" t="str">
        <f t="shared" si="1"/>
        <v>234.76</v>
      </c>
      <c r="J5" s="3" t="str">
        <f>Inputs!$B$6*Inputs!$B$7</f>
        <v>0.35</v>
      </c>
      <c r="K5" s="3" t="str">
        <f>C5*Inputs!$B$4</f>
        <v>68,952.00</v>
      </c>
      <c r="L5" s="3" t="str">
        <f t="shared" si="2"/>
        <v>936.25</v>
      </c>
      <c r="M5" s="3" t="str">
        <f>Inputs!$B$3+L5</f>
        <v>80,936.25</v>
      </c>
      <c r="N5" s="3" t="str">
        <f t="shared" si="3"/>
        <v>-11,984.25</v>
      </c>
      <c r="O5" s="6" t="str">
        <f t="shared" si="4"/>
        <v>-14.81%</v>
      </c>
    </row>
    <row r="6">
      <c r="A6" s="2">
        <v>5.0</v>
      </c>
      <c r="B6" s="3" t="str">
        <f>Inputs!$B$2+Inputs!$B$6*A6</f>
        <v>203.50</v>
      </c>
      <c r="C6" s="3" t="str">
        <f>B6*Inputs!$B$5</f>
        <v>101.75</v>
      </c>
      <c r="D6" s="3" t="str">
        <f>Inputs!$B$8*(B6/Inputs!$B$2)</f>
        <v>3.05</v>
      </c>
      <c r="E6" s="3" t="str">
        <f>D6*Inputs!$B$9</f>
        <v>135.23</v>
      </c>
      <c r="F6" s="3" t="str">
        <f>Inputs!$B$10</f>
        <v>20.00</v>
      </c>
      <c r="G6" s="3" t="str">
        <f>Inputs!$B$11</f>
        <v>30.00</v>
      </c>
      <c r="H6" s="3" t="str">
        <f>Inputs!$B$12/30</f>
        <v>50.00</v>
      </c>
      <c r="I6" s="3" t="str">
        <f t="shared" si="1"/>
        <v>235.23</v>
      </c>
      <c r="J6" s="3" t="str">
        <f>Inputs!$B$6*Inputs!$B$7</f>
        <v>0.35</v>
      </c>
      <c r="K6" s="3" t="str">
        <f>C6*Inputs!$B$4</f>
        <v>69,190.00</v>
      </c>
      <c r="L6" s="3" t="str">
        <f t="shared" si="2"/>
        <v>1,171.48</v>
      </c>
      <c r="M6" s="3" t="str">
        <f>Inputs!$B$3+L6</f>
        <v>81,171.48</v>
      </c>
      <c r="N6" s="3" t="str">
        <f t="shared" si="3"/>
        <v>-11,981.48</v>
      </c>
      <c r="O6" s="6" t="str">
        <f t="shared" si="4"/>
        <v>-14.76%</v>
      </c>
    </row>
    <row r="7">
      <c r="A7" s="2">
        <v>6.0</v>
      </c>
      <c r="B7" s="3" t="str">
        <f>Inputs!$B$2+Inputs!$B$6*A7</f>
        <v>204.20</v>
      </c>
      <c r="C7" s="3" t="str">
        <f>B7*Inputs!$B$5</f>
        <v>102.10</v>
      </c>
      <c r="D7" s="3" t="str">
        <f>Inputs!$B$8*(B7/Inputs!$B$2)</f>
        <v>3.06</v>
      </c>
      <c r="E7" s="3" t="str">
        <f>D7*Inputs!$B$9</f>
        <v>135.69</v>
      </c>
      <c r="F7" s="3" t="str">
        <f>Inputs!$B$10</f>
        <v>20.00</v>
      </c>
      <c r="G7" s="3" t="str">
        <f>Inputs!$B$11</f>
        <v>30.00</v>
      </c>
      <c r="H7" s="3" t="str">
        <f>Inputs!$B$12/30</f>
        <v>50.00</v>
      </c>
      <c r="I7" s="3" t="str">
        <f t="shared" si="1"/>
        <v>235.69</v>
      </c>
      <c r="J7" s="3" t="str">
        <f>Inputs!$B$6*Inputs!$B$7</f>
        <v>0.35</v>
      </c>
      <c r="K7" s="3" t="str">
        <f>C7*Inputs!$B$4</f>
        <v>69,428.00</v>
      </c>
      <c r="L7" s="3" t="str">
        <f t="shared" si="2"/>
        <v>1,407.17</v>
      </c>
      <c r="M7" s="3" t="str">
        <f>Inputs!$B$3+L7</f>
        <v>81,407.17</v>
      </c>
      <c r="N7" s="3" t="str">
        <f t="shared" si="3"/>
        <v>-11,979.17</v>
      </c>
      <c r="O7" s="6" t="str">
        <f t="shared" si="4"/>
        <v>-14.72%</v>
      </c>
    </row>
    <row r="8">
      <c r="A8" s="2">
        <v>7.0</v>
      </c>
      <c r="B8" s="3" t="str">
        <f>Inputs!$B$2+Inputs!$B$6*A8</f>
        <v>204.90</v>
      </c>
      <c r="C8" s="3" t="str">
        <f>B8*Inputs!$B$5</f>
        <v>102.45</v>
      </c>
      <c r="D8" s="3" t="str">
        <f>Inputs!$B$8*(B8/Inputs!$B$2)</f>
        <v>3.07</v>
      </c>
      <c r="E8" s="3" t="str">
        <f>D8*Inputs!$B$9</f>
        <v>136.16</v>
      </c>
      <c r="F8" s="3" t="str">
        <f>Inputs!$B$10</f>
        <v>20.00</v>
      </c>
      <c r="G8" s="3" t="str">
        <f>Inputs!$B$11</f>
        <v>30.00</v>
      </c>
      <c r="H8" s="3" t="str">
        <f>Inputs!$B$12/30</f>
        <v>50.00</v>
      </c>
      <c r="I8" s="3" t="str">
        <f t="shared" si="1"/>
        <v>236.16</v>
      </c>
      <c r="J8" s="3" t="str">
        <f>Inputs!$B$6*Inputs!$B$7</f>
        <v>0.35</v>
      </c>
      <c r="K8" s="3" t="str">
        <f>C8*Inputs!$B$4</f>
        <v>69,666.00</v>
      </c>
      <c r="L8" s="3" t="str">
        <f t="shared" si="2"/>
        <v>1,643.32</v>
      </c>
      <c r="M8" s="3" t="str">
        <f>Inputs!$B$3+L8</f>
        <v>81,643.32</v>
      </c>
      <c r="N8" s="3" t="str">
        <f t="shared" si="3"/>
        <v>-11,977.32</v>
      </c>
      <c r="O8" s="6" t="str">
        <f t="shared" si="4"/>
        <v>-14.67%</v>
      </c>
    </row>
    <row r="9">
      <c r="A9" s="2">
        <v>8.0</v>
      </c>
      <c r="B9" s="3" t="str">
        <f>Inputs!$B$2+Inputs!$B$6*A9</f>
        <v>205.60</v>
      </c>
      <c r="C9" s="3" t="str">
        <f>B9*Inputs!$B$5</f>
        <v>102.80</v>
      </c>
      <c r="D9" s="3" t="str">
        <f>Inputs!$B$8*(B9/Inputs!$B$2)</f>
        <v>3.08</v>
      </c>
      <c r="E9" s="3" t="str">
        <f>D9*Inputs!$B$9</f>
        <v>136.62</v>
      </c>
      <c r="F9" s="3" t="str">
        <f>Inputs!$B$10</f>
        <v>20.00</v>
      </c>
      <c r="G9" s="3" t="str">
        <f>Inputs!$B$11</f>
        <v>30.00</v>
      </c>
      <c r="H9" s="3" t="str">
        <f>Inputs!$B$12/30</f>
        <v>50.00</v>
      </c>
      <c r="I9" s="3" t="str">
        <f t="shared" si="1"/>
        <v>236.62</v>
      </c>
      <c r="J9" s="3" t="str">
        <f>Inputs!$B$6*Inputs!$B$7</f>
        <v>0.35</v>
      </c>
      <c r="K9" s="3" t="str">
        <f>C9*Inputs!$B$4</f>
        <v>69,904.00</v>
      </c>
      <c r="L9" s="3" t="str">
        <f t="shared" si="2"/>
        <v>1,879.95</v>
      </c>
      <c r="M9" s="3" t="str">
        <f>Inputs!$B$3+L9</f>
        <v>81,879.95</v>
      </c>
      <c r="N9" s="3" t="str">
        <f t="shared" si="3"/>
        <v>-11,975.95</v>
      </c>
      <c r="O9" s="6" t="str">
        <f t="shared" si="4"/>
        <v>-14.63%</v>
      </c>
    </row>
    <row r="10">
      <c r="A10" s="2">
        <v>9.0</v>
      </c>
      <c r="B10" s="3" t="str">
        <f>Inputs!$B$2+Inputs!$B$6*A10</f>
        <v>206.30</v>
      </c>
      <c r="C10" s="3" t="str">
        <f>B10*Inputs!$B$5</f>
        <v>103.15</v>
      </c>
      <c r="D10" s="3" t="str">
        <f>Inputs!$B$8*(B10/Inputs!$B$2)</f>
        <v>3.09</v>
      </c>
      <c r="E10" s="3" t="str">
        <f>D10*Inputs!$B$9</f>
        <v>137.09</v>
      </c>
      <c r="F10" s="3" t="str">
        <f>Inputs!$B$10</f>
        <v>20.00</v>
      </c>
      <c r="G10" s="3" t="str">
        <f>Inputs!$B$11</f>
        <v>30.00</v>
      </c>
      <c r="H10" s="3" t="str">
        <f>Inputs!$B$12/30</f>
        <v>50.00</v>
      </c>
      <c r="I10" s="3" t="str">
        <f t="shared" si="1"/>
        <v>237.09</v>
      </c>
      <c r="J10" s="3" t="str">
        <f>Inputs!$B$6*Inputs!$B$7</f>
        <v>0.35</v>
      </c>
      <c r="K10" s="3" t="str">
        <f>C10*Inputs!$B$4</f>
        <v>70,142.00</v>
      </c>
      <c r="L10" s="3" t="str">
        <f t="shared" si="2"/>
        <v>2,117.03</v>
      </c>
      <c r="M10" s="3" t="str">
        <f>Inputs!$B$3+L10</f>
        <v>82,117.03</v>
      </c>
      <c r="N10" s="3" t="str">
        <f t="shared" si="3"/>
        <v>-11,975.03</v>
      </c>
      <c r="O10" s="6" t="str">
        <f t="shared" si="4"/>
        <v>-14.58%</v>
      </c>
    </row>
    <row r="11">
      <c r="A11" s="2">
        <v>10.0</v>
      </c>
      <c r="B11" s="3" t="str">
        <f>Inputs!$B$2+Inputs!$B$6*A11</f>
        <v>207.00</v>
      </c>
      <c r="C11" s="3" t="str">
        <f>B11*Inputs!$B$5</f>
        <v>103.50</v>
      </c>
      <c r="D11" s="3" t="str">
        <f>Inputs!$B$8*(B11/Inputs!$B$2)</f>
        <v>3.11</v>
      </c>
      <c r="E11" s="3" t="str">
        <f>D11*Inputs!$B$9</f>
        <v>137.55</v>
      </c>
      <c r="F11" s="3" t="str">
        <f>Inputs!$B$10</f>
        <v>20.00</v>
      </c>
      <c r="G11" s="3" t="str">
        <f>Inputs!$B$11</f>
        <v>30.00</v>
      </c>
      <c r="H11" s="3" t="str">
        <f>Inputs!$B$12/30</f>
        <v>50.00</v>
      </c>
      <c r="I11" s="3" t="str">
        <f t="shared" si="1"/>
        <v>237.55</v>
      </c>
      <c r="J11" s="3" t="str">
        <f>Inputs!$B$6*Inputs!$B$7</f>
        <v>0.35</v>
      </c>
      <c r="K11" s="3" t="str">
        <f>C11*Inputs!$B$4</f>
        <v>70,380.00</v>
      </c>
      <c r="L11" s="3" t="str">
        <f t="shared" si="2"/>
        <v>2,354.58</v>
      </c>
      <c r="M11" s="3" t="str">
        <f>Inputs!$B$3+L11</f>
        <v>82,354.58</v>
      </c>
      <c r="N11" s="3" t="str">
        <f t="shared" si="3"/>
        <v>-11,974.58</v>
      </c>
      <c r="O11" s="6" t="str">
        <f t="shared" si="4"/>
        <v>-14.54%</v>
      </c>
    </row>
    <row r="12">
      <c r="A12" s="2">
        <v>11.0</v>
      </c>
      <c r="B12" s="3" t="str">
        <f>Inputs!$B$2+Inputs!$B$6*A12</f>
        <v>207.70</v>
      </c>
      <c r="C12" s="3" t="str">
        <f>B12*Inputs!$B$5</f>
        <v>103.85</v>
      </c>
      <c r="D12" s="3" t="str">
        <f>Inputs!$B$8*(B12/Inputs!$B$2)</f>
        <v>3.12</v>
      </c>
      <c r="E12" s="3" t="str">
        <f>D12*Inputs!$B$9</f>
        <v>138.02</v>
      </c>
      <c r="F12" s="3" t="str">
        <f>Inputs!$B$10</f>
        <v>20.00</v>
      </c>
      <c r="G12" s="3" t="str">
        <f>Inputs!$B$11</f>
        <v>30.00</v>
      </c>
      <c r="H12" s="3" t="str">
        <f>Inputs!$B$12/30</f>
        <v>50.00</v>
      </c>
      <c r="I12" s="3" t="str">
        <f t="shared" si="1"/>
        <v>238.02</v>
      </c>
      <c r="J12" s="3" t="str">
        <f>Inputs!$B$6*Inputs!$B$7</f>
        <v>0.35</v>
      </c>
      <c r="K12" s="3" t="str">
        <f>C12*Inputs!$B$4</f>
        <v>70,618.00</v>
      </c>
      <c r="L12" s="3" t="str">
        <f t="shared" si="2"/>
        <v>2,592.60</v>
      </c>
      <c r="M12" s="3" t="str">
        <f>Inputs!$B$3+L12</f>
        <v>82,592.60</v>
      </c>
      <c r="N12" s="3" t="str">
        <f t="shared" si="3"/>
        <v>-11,974.60</v>
      </c>
      <c r="O12" s="6" t="str">
        <f t="shared" si="4"/>
        <v>-14.50%</v>
      </c>
    </row>
    <row r="13">
      <c r="A13" s="2">
        <v>12.0</v>
      </c>
      <c r="B13" s="3" t="str">
        <f>Inputs!$B$2+Inputs!$B$6*A13</f>
        <v>208.40</v>
      </c>
      <c r="C13" s="3" t="str">
        <f>B13*Inputs!$B$5</f>
        <v>104.20</v>
      </c>
      <c r="D13" s="3" t="str">
        <f>Inputs!$B$8*(B13/Inputs!$B$2)</f>
        <v>3.13</v>
      </c>
      <c r="E13" s="3" t="str">
        <f>D13*Inputs!$B$9</f>
        <v>138.48</v>
      </c>
      <c r="F13" s="3" t="str">
        <f>Inputs!$B$10</f>
        <v>20.00</v>
      </c>
      <c r="G13" s="3" t="str">
        <f>Inputs!$B$11</f>
        <v>30.00</v>
      </c>
      <c r="H13" s="3" t="str">
        <f>Inputs!$B$12/30</f>
        <v>50.00</v>
      </c>
      <c r="I13" s="3" t="str">
        <f t="shared" si="1"/>
        <v>238.48</v>
      </c>
      <c r="J13" s="3" t="str">
        <f>Inputs!$B$6*Inputs!$B$7</f>
        <v>0.35</v>
      </c>
      <c r="K13" s="3" t="str">
        <f>C13*Inputs!$B$4</f>
        <v>70,856.00</v>
      </c>
      <c r="L13" s="3" t="str">
        <f t="shared" si="2"/>
        <v>2,831.08</v>
      </c>
      <c r="M13" s="3" t="str">
        <f>Inputs!$B$3+L13</f>
        <v>82,831.08</v>
      </c>
      <c r="N13" s="3" t="str">
        <f t="shared" si="3"/>
        <v>-11,975.08</v>
      </c>
      <c r="O13" s="6" t="str">
        <f t="shared" si="4"/>
        <v>-14.46%</v>
      </c>
    </row>
    <row r="14">
      <c r="A14" s="2">
        <v>13.0</v>
      </c>
      <c r="B14" s="3" t="str">
        <f>Inputs!$B$2+Inputs!$B$6*A14</f>
        <v>209.10</v>
      </c>
      <c r="C14" s="3" t="str">
        <f>B14*Inputs!$B$5</f>
        <v>104.55</v>
      </c>
      <c r="D14" s="3" t="str">
        <f>Inputs!$B$8*(B14/Inputs!$B$2)</f>
        <v>3.14</v>
      </c>
      <c r="E14" s="3" t="str">
        <f>D14*Inputs!$B$9</f>
        <v>138.95</v>
      </c>
      <c r="F14" s="3" t="str">
        <f>Inputs!$B$10</f>
        <v>20.00</v>
      </c>
      <c r="G14" s="3" t="str">
        <f>Inputs!$B$11</f>
        <v>30.00</v>
      </c>
      <c r="H14" s="3" t="str">
        <f>Inputs!$B$12/30</f>
        <v>50.00</v>
      </c>
      <c r="I14" s="3" t="str">
        <f t="shared" si="1"/>
        <v>238.95</v>
      </c>
      <c r="J14" s="3" t="str">
        <f>Inputs!$B$6*Inputs!$B$7</f>
        <v>0.35</v>
      </c>
      <c r="K14" s="3" t="str">
        <f>C14*Inputs!$B$4</f>
        <v>71,094.00</v>
      </c>
      <c r="L14" s="3" t="str">
        <f t="shared" si="2"/>
        <v>3,070.03</v>
      </c>
      <c r="M14" s="3" t="str">
        <f>Inputs!$B$3+L14</f>
        <v>83,070.03</v>
      </c>
      <c r="N14" s="3" t="str">
        <f t="shared" si="3"/>
        <v>-11,976.03</v>
      </c>
      <c r="O14" s="6" t="str">
        <f t="shared" si="4"/>
        <v>-14.42%</v>
      </c>
    </row>
    <row r="15">
      <c r="A15" s="2">
        <v>14.0</v>
      </c>
      <c r="B15" s="3" t="str">
        <f>Inputs!$B$2+Inputs!$B$6*A15</f>
        <v>209.80</v>
      </c>
      <c r="C15" s="3" t="str">
        <f>B15*Inputs!$B$5</f>
        <v>104.90</v>
      </c>
      <c r="D15" s="3" t="str">
        <f>Inputs!$B$8*(B15/Inputs!$B$2)</f>
        <v>3.15</v>
      </c>
      <c r="E15" s="3" t="str">
        <f>D15*Inputs!$B$9</f>
        <v>139.41</v>
      </c>
      <c r="F15" s="3" t="str">
        <f>Inputs!$B$10</f>
        <v>20.00</v>
      </c>
      <c r="G15" s="3" t="str">
        <f>Inputs!$B$11</f>
        <v>30.00</v>
      </c>
      <c r="H15" s="3" t="str">
        <f>Inputs!$B$12/30</f>
        <v>50.00</v>
      </c>
      <c r="I15" s="3" t="str">
        <f t="shared" si="1"/>
        <v>239.41</v>
      </c>
      <c r="J15" s="3" t="str">
        <f>Inputs!$B$6*Inputs!$B$7</f>
        <v>0.35</v>
      </c>
      <c r="K15" s="3" t="str">
        <f>C15*Inputs!$B$4</f>
        <v>71,332.00</v>
      </c>
      <c r="L15" s="3" t="str">
        <f t="shared" si="2"/>
        <v>3,309.44</v>
      </c>
      <c r="M15" s="3" t="str">
        <f>Inputs!$B$3+L15</f>
        <v>83,309.44</v>
      </c>
      <c r="N15" s="3" t="str">
        <f t="shared" si="3"/>
        <v>-11,977.44</v>
      </c>
      <c r="O15" s="6" t="str">
        <f t="shared" si="4"/>
        <v>-14.38%</v>
      </c>
    </row>
    <row r="16">
      <c r="A16" s="2">
        <v>15.0</v>
      </c>
      <c r="B16" s="3" t="str">
        <f>Inputs!$B$2+Inputs!$B$6*A16</f>
        <v>210.50</v>
      </c>
      <c r="C16" s="3" t="str">
        <f>B16*Inputs!$B$5</f>
        <v>105.25</v>
      </c>
      <c r="D16" s="3" t="str">
        <f>Inputs!$B$8*(B16/Inputs!$B$2)</f>
        <v>3.16</v>
      </c>
      <c r="E16" s="3" t="str">
        <f>D16*Inputs!$B$9</f>
        <v>139.88</v>
      </c>
      <c r="F16" s="3" t="str">
        <f>Inputs!$B$10</f>
        <v>20.00</v>
      </c>
      <c r="G16" s="3" t="str">
        <f>Inputs!$B$11</f>
        <v>30.00</v>
      </c>
      <c r="H16" s="3" t="str">
        <f>Inputs!$B$12/30</f>
        <v>50.00</v>
      </c>
      <c r="I16" s="3" t="str">
        <f t="shared" si="1"/>
        <v>239.88</v>
      </c>
      <c r="J16" s="3" t="str">
        <f>Inputs!$B$6*Inputs!$B$7</f>
        <v>0.35</v>
      </c>
      <c r="K16" s="3" t="str">
        <f>C16*Inputs!$B$4</f>
        <v>71,570.00</v>
      </c>
      <c r="L16" s="3" t="str">
        <f t="shared" si="2"/>
        <v>3,549.32</v>
      </c>
      <c r="M16" s="3" t="str">
        <f>Inputs!$B$3+L16</f>
        <v>83,549.32</v>
      </c>
      <c r="N16" s="3" t="str">
        <f t="shared" si="3"/>
        <v>-11,979.32</v>
      </c>
      <c r="O16" s="6" t="str">
        <f t="shared" si="4"/>
        <v>-14.34%</v>
      </c>
    </row>
    <row r="17">
      <c r="A17" s="2">
        <v>16.0</v>
      </c>
      <c r="B17" s="3" t="str">
        <f>Inputs!$B$2+Inputs!$B$6*A17</f>
        <v>211.20</v>
      </c>
      <c r="C17" s="3" t="str">
        <f>B17*Inputs!$B$5</f>
        <v>105.60</v>
      </c>
      <c r="D17" s="3" t="str">
        <f>Inputs!$B$8*(B17/Inputs!$B$2)</f>
        <v>3.17</v>
      </c>
      <c r="E17" s="3" t="str">
        <f>D17*Inputs!$B$9</f>
        <v>140.34</v>
      </c>
      <c r="F17" s="3" t="str">
        <f>Inputs!$B$10</f>
        <v>20.00</v>
      </c>
      <c r="G17" s="3" t="str">
        <f>Inputs!$B$11</f>
        <v>30.00</v>
      </c>
      <c r="H17" s="3" t="str">
        <f>Inputs!$B$12/30</f>
        <v>50.00</v>
      </c>
      <c r="I17" s="3" t="str">
        <f t="shared" si="1"/>
        <v>240.34</v>
      </c>
      <c r="J17" s="3" t="str">
        <f>Inputs!$B$6*Inputs!$B$7</f>
        <v>0.35</v>
      </c>
      <c r="K17" s="3" t="str">
        <f>C17*Inputs!$B$4</f>
        <v>71,808.00</v>
      </c>
      <c r="L17" s="3" t="str">
        <f t="shared" si="2"/>
        <v>3,789.66</v>
      </c>
      <c r="M17" s="3" t="str">
        <f>Inputs!$B$3+L17</f>
        <v>83,789.66</v>
      </c>
      <c r="N17" s="3" t="str">
        <f t="shared" si="3"/>
        <v>-11,981.66</v>
      </c>
      <c r="O17" s="6" t="str">
        <f t="shared" si="4"/>
        <v>-14.30%</v>
      </c>
    </row>
    <row r="18">
      <c r="A18" s="2">
        <v>17.0</v>
      </c>
      <c r="B18" s="3" t="str">
        <f>Inputs!$B$2+Inputs!$B$6*A18</f>
        <v>211.90</v>
      </c>
      <c r="C18" s="3" t="str">
        <f>B18*Inputs!$B$5</f>
        <v>105.95</v>
      </c>
      <c r="D18" s="3" t="str">
        <f>Inputs!$B$8*(B18/Inputs!$B$2)</f>
        <v>3.18</v>
      </c>
      <c r="E18" s="3" t="str">
        <f>D18*Inputs!$B$9</f>
        <v>140.81</v>
      </c>
      <c r="F18" s="3" t="str">
        <f>Inputs!$B$10</f>
        <v>20.00</v>
      </c>
      <c r="G18" s="3" t="str">
        <f>Inputs!$B$11</f>
        <v>30.00</v>
      </c>
      <c r="H18" s="3" t="str">
        <f>Inputs!$B$12/30</f>
        <v>50.00</v>
      </c>
      <c r="I18" s="3" t="str">
        <f t="shared" si="1"/>
        <v>240.81</v>
      </c>
      <c r="J18" s="3" t="str">
        <f>Inputs!$B$6*Inputs!$B$7</f>
        <v>0.35</v>
      </c>
      <c r="K18" s="3" t="str">
        <f>C18*Inputs!$B$4</f>
        <v>72,046.00</v>
      </c>
      <c r="L18" s="3" t="str">
        <f t="shared" si="2"/>
        <v>4,030.47</v>
      </c>
      <c r="M18" s="3" t="str">
        <f>Inputs!$B$3+L18</f>
        <v>84,030.47</v>
      </c>
      <c r="N18" s="3" t="str">
        <f t="shared" si="3"/>
        <v>-11,984.47</v>
      </c>
      <c r="O18" s="6" t="str">
        <f t="shared" si="4"/>
        <v>-14.26%</v>
      </c>
    </row>
    <row r="19">
      <c r="A19" s="2">
        <v>18.0</v>
      </c>
      <c r="B19" s="3" t="str">
        <f>Inputs!$B$2+Inputs!$B$6*A19</f>
        <v>212.60</v>
      </c>
      <c r="C19" s="3" t="str">
        <f>B19*Inputs!$B$5</f>
        <v>106.30</v>
      </c>
      <c r="D19" s="3" t="str">
        <f>Inputs!$B$8*(B19/Inputs!$B$2)</f>
        <v>3.19</v>
      </c>
      <c r="E19" s="3" t="str">
        <f>D19*Inputs!$B$9</f>
        <v>141.27</v>
      </c>
      <c r="F19" s="3" t="str">
        <f>Inputs!$B$10</f>
        <v>20.00</v>
      </c>
      <c r="G19" s="3" t="str">
        <f>Inputs!$B$11</f>
        <v>30.00</v>
      </c>
      <c r="H19" s="3" t="str">
        <f>Inputs!$B$12/30</f>
        <v>50.00</v>
      </c>
      <c r="I19" s="3" t="str">
        <f t="shared" si="1"/>
        <v>241.27</v>
      </c>
      <c r="J19" s="3" t="str">
        <f>Inputs!$B$6*Inputs!$B$7</f>
        <v>0.35</v>
      </c>
      <c r="K19" s="3" t="str">
        <f>C19*Inputs!$B$4</f>
        <v>72,284.00</v>
      </c>
      <c r="L19" s="3" t="str">
        <f t="shared" si="2"/>
        <v>4,271.74</v>
      </c>
      <c r="M19" s="3" t="str">
        <f>Inputs!$B$3+L19</f>
        <v>84,271.74</v>
      </c>
      <c r="N19" s="3" t="str">
        <f t="shared" si="3"/>
        <v>-11,987.74</v>
      </c>
      <c r="O19" s="6" t="str">
        <f t="shared" si="4"/>
        <v>-14.23%</v>
      </c>
    </row>
    <row r="20">
      <c r="A20" s="2">
        <v>19.0</v>
      </c>
      <c r="B20" s="3" t="str">
        <f>Inputs!$B$2+Inputs!$B$6*A20</f>
        <v>213.30</v>
      </c>
      <c r="C20" s="3" t="str">
        <f>B20*Inputs!$B$5</f>
        <v>106.65</v>
      </c>
      <c r="D20" s="3" t="str">
        <f>Inputs!$B$8*(B20/Inputs!$B$2)</f>
        <v>3.20</v>
      </c>
      <c r="E20" s="3" t="str">
        <f>D20*Inputs!$B$9</f>
        <v>141.74</v>
      </c>
      <c r="F20" s="3" t="str">
        <f>Inputs!$B$10</f>
        <v>20.00</v>
      </c>
      <c r="G20" s="3" t="str">
        <f>Inputs!$B$11</f>
        <v>30.00</v>
      </c>
      <c r="H20" s="3" t="str">
        <f>Inputs!$B$12/30</f>
        <v>50.00</v>
      </c>
      <c r="I20" s="3" t="str">
        <f t="shared" si="1"/>
        <v>241.74</v>
      </c>
      <c r="J20" s="3" t="str">
        <f>Inputs!$B$6*Inputs!$B$7</f>
        <v>0.35</v>
      </c>
      <c r="K20" s="3" t="str">
        <f>C20*Inputs!$B$4</f>
        <v>72,522.00</v>
      </c>
      <c r="L20" s="3" t="str">
        <f t="shared" si="2"/>
        <v>4,513.48</v>
      </c>
      <c r="M20" s="3" t="str">
        <f>Inputs!$B$3+L20</f>
        <v>84,513.48</v>
      </c>
      <c r="N20" s="3" t="str">
        <f t="shared" si="3"/>
        <v>-11,991.48</v>
      </c>
      <c r="O20" s="6" t="str">
        <f t="shared" si="4"/>
        <v>-14.19%</v>
      </c>
    </row>
    <row r="21" ht="15.75" customHeight="1">
      <c r="A21" s="2">
        <v>20.0</v>
      </c>
      <c r="B21" s="3" t="str">
        <f>Inputs!$B$2+Inputs!$B$6*A21</f>
        <v>214.00</v>
      </c>
      <c r="C21" s="3" t="str">
        <f>B21*Inputs!$B$5</f>
        <v>107.00</v>
      </c>
      <c r="D21" s="3" t="str">
        <f>Inputs!$B$8*(B21/Inputs!$B$2)</f>
        <v>3.21</v>
      </c>
      <c r="E21" s="3" t="str">
        <f>D21*Inputs!$B$9</f>
        <v>142.20</v>
      </c>
      <c r="F21" s="3" t="str">
        <f>Inputs!$B$10</f>
        <v>20.00</v>
      </c>
      <c r="G21" s="3" t="str">
        <f>Inputs!$B$11</f>
        <v>30.00</v>
      </c>
      <c r="H21" s="3" t="str">
        <f>Inputs!$B$12/30</f>
        <v>50.00</v>
      </c>
      <c r="I21" s="3" t="str">
        <f t="shared" si="1"/>
        <v>242.20</v>
      </c>
      <c r="J21" s="3" t="str">
        <f>Inputs!$B$6*Inputs!$B$7</f>
        <v>0.35</v>
      </c>
      <c r="K21" s="3" t="str">
        <f>C21*Inputs!$B$4</f>
        <v>72,760.00</v>
      </c>
      <c r="L21" s="3" t="str">
        <f t="shared" si="2"/>
        <v>4,755.68</v>
      </c>
      <c r="M21" s="3" t="str">
        <f>Inputs!$B$3+L21</f>
        <v>84,755.68</v>
      </c>
      <c r="N21" s="3" t="str">
        <f t="shared" si="3"/>
        <v>-11,995.68</v>
      </c>
      <c r="O21" s="6" t="str">
        <f t="shared" si="4"/>
        <v>-14.15%</v>
      </c>
    </row>
    <row r="22" ht="15.75" customHeight="1">
      <c r="A22" s="2">
        <v>21.0</v>
      </c>
      <c r="B22" s="3" t="str">
        <f>Inputs!$B$2+Inputs!$B$6*A22</f>
        <v>214.70</v>
      </c>
      <c r="C22" s="3" t="str">
        <f>B22*Inputs!$B$5</f>
        <v>107.35</v>
      </c>
      <c r="D22" s="3" t="str">
        <f>Inputs!$B$8*(B22/Inputs!$B$2)</f>
        <v>3.22</v>
      </c>
      <c r="E22" s="3" t="str">
        <f>D22*Inputs!$B$9</f>
        <v>142.67</v>
      </c>
      <c r="F22" s="3" t="str">
        <f>Inputs!$B$10</f>
        <v>20.00</v>
      </c>
      <c r="G22" s="3" t="str">
        <f>Inputs!$B$11</f>
        <v>30.00</v>
      </c>
      <c r="H22" s="3" t="str">
        <f>Inputs!$B$12/30</f>
        <v>50.00</v>
      </c>
      <c r="I22" s="3" t="str">
        <f t="shared" si="1"/>
        <v>242.67</v>
      </c>
      <c r="J22" s="3" t="str">
        <f>Inputs!$B$6*Inputs!$B$7</f>
        <v>0.35</v>
      </c>
      <c r="K22" s="3" t="str">
        <f>C22*Inputs!$B$4</f>
        <v>72,998.00</v>
      </c>
      <c r="L22" s="3" t="str">
        <f t="shared" si="2"/>
        <v>4,998.35</v>
      </c>
      <c r="M22" s="3" t="str">
        <f>Inputs!$B$3+L22</f>
        <v>84,998.35</v>
      </c>
      <c r="N22" s="3" t="str">
        <f t="shared" si="3"/>
        <v>-12,000.35</v>
      </c>
      <c r="O22" s="6" t="str">
        <f t="shared" si="4"/>
        <v>-14.12%</v>
      </c>
    </row>
    <row r="23" ht="15.75" customHeight="1">
      <c r="A23" s="2">
        <v>22.0</v>
      </c>
      <c r="B23" s="3" t="str">
        <f>Inputs!$B$2+Inputs!$B$6*A23</f>
        <v>215.40</v>
      </c>
      <c r="C23" s="3" t="str">
        <f>B23*Inputs!$B$5</f>
        <v>107.70</v>
      </c>
      <c r="D23" s="3" t="str">
        <f>Inputs!$B$8*(B23/Inputs!$B$2)</f>
        <v>3.23</v>
      </c>
      <c r="E23" s="3" t="str">
        <f>D23*Inputs!$B$9</f>
        <v>143.13</v>
      </c>
      <c r="F23" s="3" t="str">
        <f>Inputs!$B$10</f>
        <v>20.00</v>
      </c>
      <c r="G23" s="3" t="str">
        <f>Inputs!$B$11</f>
        <v>30.00</v>
      </c>
      <c r="H23" s="3" t="str">
        <f>Inputs!$B$12/30</f>
        <v>50.00</v>
      </c>
      <c r="I23" s="3" t="str">
        <f t="shared" si="1"/>
        <v>243.13</v>
      </c>
      <c r="J23" s="3" t="str">
        <f>Inputs!$B$6*Inputs!$B$7</f>
        <v>0.35</v>
      </c>
      <c r="K23" s="3" t="str">
        <f>C23*Inputs!$B$4</f>
        <v>73,236.00</v>
      </c>
      <c r="L23" s="3" t="str">
        <f t="shared" si="2"/>
        <v>5,241.48</v>
      </c>
      <c r="M23" s="3" t="str">
        <f>Inputs!$B$3+L23</f>
        <v>85,241.48</v>
      </c>
      <c r="N23" s="3" t="str">
        <f t="shared" si="3"/>
        <v>-12,005.48</v>
      </c>
      <c r="O23" s="6" t="str">
        <f t="shared" si="4"/>
        <v>-14.08%</v>
      </c>
    </row>
    <row r="24" ht="15.75" customHeight="1">
      <c r="A24" s="2">
        <v>23.0</v>
      </c>
      <c r="B24" s="3" t="str">
        <f>Inputs!$B$2+Inputs!$B$6*A24</f>
        <v>216.10</v>
      </c>
      <c r="C24" s="3" t="str">
        <f>B24*Inputs!$B$5</f>
        <v>108.05</v>
      </c>
      <c r="D24" s="3" t="str">
        <f>Inputs!$B$8*(B24/Inputs!$B$2)</f>
        <v>3.24</v>
      </c>
      <c r="E24" s="3" t="str">
        <f>D24*Inputs!$B$9</f>
        <v>143.60</v>
      </c>
      <c r="F24" s="3" t="str">
        <f>Inputs!$B$10</f>
        <v>20.00</v>
      </c>
      <c r="G24" s="3" t="str">
        <f>Inputs!$B$11</f>
        <v>30.00</v>
      </c>
      <c r="H24" s="3" t="str">
        <f>Inputs!$B$12/30</f>
        <v>50.00</v>
      </c>
      <c r="I24" s="3" t="str">
        <f t="shared" si="1"/>
        <v>243.60</v>
      </c>
      <c r="J24" s="3" t="str">
        <f>Inputs!$B$6*Inputs!$B$7</f>
        <v>0.35</v>
      </c>
      <c r="K24" s="3" t="str">
        <f>C24*Inputs!$B$4</f>
        <v>73,474.00</v>
      </c>
      <c r="L24" s="3" t="str">
        <f t="shared" si="2"/>
        <v>5,485.08</v>
      </c>
      <c r="M24" s="3" t="str">
        <f>Inputs!$B$3+L24</f>
        <v>85,485.08</v>
      </c>
      <c r="N24" s="3" t="str">
        <f t="shared" si="3"/>
        <v>-12,011.08</v>
      </c>
      <c r="O24" s="6" t="str">
        <f t="shared" si="4"/>
        <v>-14.05%</v>
      </c>
    </row>
    <row r="25" ht="15.75" customHeight="1">
      <c r="A25" s="2">
        <v>24.0</v>
      </c>
      <c r="B25" s="3" t="str">
        <f>Inputs!$B$2+Inputs!$B$6*A25</f>
        <v>216.80</v>
      </c>
      <c r="C25" s="3" t="str">
        <f>B25*Inputs!$B$5</f>
        <v>108.40</v>
      </c>
      <c r="D25" s="3" t="str">
        <f>Inputs!$B$8*(B25/Inputs!$B$2)</f>
        <v>3.25</v>
      </c>
      <c r="E25" s="3" t="str">
        <f>D25*Inputs!$B$9</f>
        <v>144.06</v>
      </c>
      <c r="F25" s="3" t="str">
        <f>Inputs!$B$10</f>
        <v>20.00</v>
      </c>
      <c r="G25" s="3" t="str">
        <f>Inputs!$B$11</f>
        <v>30.00</v>
      </c>
      <c r="H25" s="3" t="str">
        <f>Inputs!$B$12/30</f>
        <v>50.00</v>
      </c>
      <c r="I25" s="3" t="str">
        <f t="shared" si="1"/>
        <v>244.06</v>
      </c>
      <c r="J25" s="3" t="str">
        <f>Inputs!$B$6*Inputs!$B$7</f>
        <v>0.35</v>
      </c>
      <c r="K25" s="3" t="str">
        <f>C25*Inputs!$B$4</f>
        <v>73,712.00</v>
      </c>
      <c r="L25" s="3" t="str">
        <f t="shared" si="2"/>
        <v>5,729.15</v>
      </c>
      <c r="M25" s="3" t="str">
        <f>Inputs!$B$3+L25</f>
        <v>85,729.15</v>
      </c>
      <c r="N25" s="3" t="str">
        <f t="shared" si="3"/>
        <v>-12,017.15</v>
      </c>
      <c r="O25" s="6" t="str">
        <f t="shared" si="4"/>
        <v>-14.02%</v>
      </c>
    </row>
    <row r="26" ht="15.75" customHeight="1">
      <c r="A26" s="2">
        <v>25.0</v>
      </c>
      <c r="B26" s="3" t="str">
        <f>Inputs!$B$2+Inputs!$B$6*A26</f>
        <v>217.50</v>
      </c>
      <c r="C26" s="3" t="str">
        <f>B26*Inputs!$B$5</f>
        <v>108.75</v>
      </c>
      <c r="D26" s="3" t="str">
        <f>Inputs!$B$8*(B26/Inputs!$B$2)</f>
        <v>3.26</v>
      </c>
      <c r="E26" s="3" t="str">
        <f>D26*Inputs!$B$9</f>
        <v>144.53</v>
      </c>
      <c r="F26" s="3" t="str">
        <f>Inputs!$B$10</f>
        <v>20.00</v>
      </c>
      <c r="G26" s="3" t="str">
        <f>Inputs!$B$11</f>
        <v>30.00</v>
      </c>
      <c r="H26" s="3" t="str">
        <f>Inputs!$B$12/30</f>
        <v>50.00</v>
      </c>
      <c r="I26" s="3" t="str">
        <f t="shared" si="1"/>
        <v>244.53</v>
      </c>
      <c r="J26" s="3" t="str">
        <f>Inputs!$B$6*Inputs!$B$7</f>
        <v>0.35</v>
      </c>
      <c r="K26" s="3" t="str">
        <f>C26*Inputs!$B$4</f>
        <v>73,950.00</v>
      </c>
      <c r="L26" s="3" t="str">
        <f t="shared" si="2"/>
        <v>5,973.67</v>
      </c>
      <c r="M26" s="3" t="str">
        <f>Inputs!$B$3+L26</f>
        <v>85,973.67</v>
      </c>
      <c r="N26" s="3" t="str">
        <f t="shared" si="3"/>
        <v>-12,023.67</v>
      </c>
      <c r="O26" s="6" t="str">
        <f t="shared" si="4"/>
        <v>-13.99%</v>
      </c>
    </row>
    <row r="27" ht="15.75" customHeight="1">
      <c r="A27" s="2">
        <v>26.0</v>
      </c>
      <c r="B27" s="3" t="str">
        <f>Inputs!$B$2+Inputs!$B$6*A27</f>
        <v>218.20</v>
      </c>
      <c r="C27" s="3" t="str">
        <f>B27*Inputs!$B$5</f>
        <v>109.10</v>
      </c>
      <c r="D27" s="3" t="str">
        <f>Inputs!$B$8*(B27/Inputs!$B$2)</f>
        <v>3.27</v>
      </c>
      <c r="E27" s="3" t="str">
        <f>D27*Inputs!$B$9</f>
        <v>144.99</v>
      </c>
      <c r="F27" s="3" t="str">
        <f>Inputs!$B$10</f>
        <v>20.00</v>
      </c>
      <c r="G27" s="3" t="str">
        <f>Inputs!$B$11</f>
        <v>30.00</v>
      </c>
      <c r="H27" s="3" t="str">
        <f>Inputs!$B$12/30</f>
        <v>50.00</v>
      </c>
      <c r="I27" s="3" t="str">
        <f t="shared" si="1"/>
        <v>244.99</v>
      </c>
      <c r="J27" s="3" t="str">
        <f>Inputs!$B$6*Inputs!$B$7</f>
        <v>0.35</v>
      </c>
      <c r="K27" s="3" t="str">
        <f>C27*Inputs!$B$4</f>
        <v>74,188.00</v>
      </c>
      <c r="L27" s="3" t="str">
        <f t="shared" si="2"/>
        <v>6,218.67</v>
      </c>
      <c r="M27" s="3" t="str">
        <f>Inputs!$B$3+L27</f>
        <v>86,218.67</v>
      </c>
      <c r="N27" s="3" t="str">
        <f t="shared" si="3"/>
        <v>-12,030.67</v>
      </c>
      <c r="O27" s="6" t="str">
        <f t="shared" si="4"/>
        <v>-13.95%</v>
      </c>
    </row>
    <row r="28" ht="15.75" customHeight="1">
      <c r="A28" s="2">
        <v>27.0</v>
      </c>
      <c r="B28" s="3" t="str">
        <f>Inputs!$B$2+Inputs!$B$6*A28</f>
        <v>218.90</v>
      </c>
      <c r="C28" s="3" t="str">
        <f>B28*Inputs!$B$5</f>
        <v>109.45</v>
      </c>
      <c r="D28" s="3" t="str">
        <f>Inputs!$B$8*(B28/Inputs!$B$2)</f>
        <v>3.28</v>
      </c>
      <c r="E28" s="3" t="str">
        <f>D28*Inputs!$B$9</f>
        <v>145.46</v>
      </c>
      <c r="F28" s="3" t="str">
        <f>Inputs!$B$10</f>
        <v>20.00</v>
      </c>
      <c r="G28" s="3" t="str">
        <f>Inputs!$B$11</f>
        <v>30.00</v>
      </c>
      <c r="H28" s="3" t="str">
        <f>Inputs!$B$12/30</f>
        <v>50.00</v>
      </c>
      <c r="I28" s="3" t="str">
        <f t="shared" si="1"/>
        <v>245.46</v>
      </c>
      <c r="J28" s="3" t="str">
        <f>Inputs!$B$6*Inputs!$B$7</f>
        <v>0.35</v>
      </c>
      <c r="K28" s="3" t="str">
        <f>C28*Inputs!$B$4</f>
        <v>74,426.00</v>
      </c>
      <c r="L28" s="3" t="str">
        <f t="shared" si="2"/>
        <v>6,464.13</v>
      </c>
      <c r="M28" s="3" t="str">
        <f>Inputs!$B$3+L28</f>
        <v>86,464.13</v>
      </c>
      <c r="N28" s="3" t="str">
        <f t="shared" si="3"/>
        <v>-12,038.13</v>
      </c>
      <c r="O28" s="6" t="str">
        <f t="shared" si="4"/>
        <v>-13.92%</v>
      </c>
    </row>
    <row r="29" ht="15.75" customHeight="1">
      <c r="A29" s="2">
        <v>28.0</v>
      </c>
      <c r="B29" s="3" t="str">
        <f>Inputs!$B$2+Inputs!$B$6*A29</f>
        <v>219.60</v>
      </c>
      <c r="C29" s="3" t="str">
        <f>B29*Inputs!$B$5</f>
        <v>109.80</v>
      </c>
      <c r="D29" s="3" t="str">
        <f>Inputs!$B$8*(B29/Inputs!$B$2)</f>
        <v>3.29</v>
      </c>
      <c r="E29" s="3" t="str">
        <f>D29*Inputs!$B$9</f>
        <v>145.92</v>
      </c>
      <c r="F29" s="3" t="str">
        <f>Inputs!$B$10</f>
        <v>20.00</v>
      </c>
      <c r="G29" s="3" t="str">
        <f>Inputs!$B$11</f>
        <v>30.00</v>
      </c>
      <c r="H29" s="3" t="str">
        <f>Inputs!$B$12/30</f>
        <v>50.00</v>
      </c>
      <c r="I29" s="3" t="str">
        <f t="shared" si="1"/>
        <v>245.92</v>
      </c>
      <c r="J29" s="3" t="str">
        <f>Inputs!$B$6*Inputs!$B$7</f>
        <v>0.35</v>
      </c>
      <c r="K29" s="3" t="str">
        <f>C29*Inputs!$B$4</f>
        <v>74,664.00</v>
      </c>
      <c r="L29" s="3" t="str">
        <f t="shared" si="2"/>
        <v>6,710.05</v>
      </c>
      <c r="M29" s="3" t="str">
        <f>Inputs!$B$3+L29</f>
        <v>86,710.05</v>
      </c>
      <c r="N29" s="3" t="str">
        <f t="shared" si="3"/>
        <v>-12,046.05</v>
      </c>
      <c r="O29" s="6" t="str">
        <f t="shared" si="4"/>
        <v>-13.89%</v>
      </c>
    </row>
    <row r="30" ht="15.75" customHeight="1">
      <c r="A30" s="2">
        <v>29.0</v>
      </c>
      <c r="B30" s="3" t="str">
        <f>Inputs!$B$2+Inputs!$B$6*A30</f>
        <v>220.30</v>
      </c>
      <c r="C30" s="3" t="str">
        <f>B30*Inputs!$B$5</f>
        <v>110.15</v>
      </c>
      <c r="D30" s="3" t="str">
        <f>Inputs!$B$8*(B30/Inputs!$B$2)</f>
        <v>3.30</v>
      </c>
      <c r="E30" s="3" t="str">
        <f>D30*Inputs!$B$9</f>
        <v>146.39</v>
      </c>
      <c r="F30" s="3" t="str">
        <f>Inputs!$B$10</f>
        <v>20.00</v>
      </c>
      <c r="G30" s="3" t="str">
        <f>Inputs!$B$11</f>
        <v>30.00</v>
      </c>
      <c r="H30" s="3" t="str">
        <f>Inputs!$B$12/30</f>
        <v>50.00</v>
      </c>
      <c r="I30" s="3" t="str">
        <f t="shared" si="1"/>
        <v>246.39</v>
      </c>
      <c r="J30" s="3" t="str">
        <f>Inputs!$B$6*Inputs!$B$7</f>
        <v>0.35</v>
      </c>
      <c r="K30" s="3" t="str">
        <f>C30*Inputs!$B$4</f>
        <v>74,902.00</v>
      </c>
      <c r="L30" s="3" t="str">
        <f t="shared" si="2"/>
        <v>6,956.44</v>
      </c>
      <c r="M30" s="3" t="str">
        <f>Inputs!$B$3+L30</f>
        <v>86,956.44</v>
      </c>
      <c r="N30" s="3" t="str">
        <f t="shared" si="3"/>
        <v>-12,054.44</v>
      </c>
      <c r="O30" s="6" t="str">
        <f t="shared" si="4"/>
        <v>-13.86%</v>
      </c>
    </row>
    <row r="31" ht="15.75" customHeight="1">
      <c r="A31" s="2">
        <v>30.0</v>
      </c>
      <c r="B31" s="3" t="str">
        <f>Inputs!$B$2+Inputs!$B$6*A31</f>
        <v>221.00</v>
      </c>
      <c r="C31" s="3" t="str">
        <f>B31*Inputs!$B$5</f>
        <v>110.50</v>
      </c>
      <c r="D31" s="3" t="str">
        <f>Inputs!$B$8*(B31/Inputs!$B$2)</f>
        <v>3.32</v>
      </c>
      <c r="E31" s="3" t="str">
        <f>D31*Inputs!$B$9</f>
        <v>146.85</v>
      </c>
      <c r="F31" s="3" t="str">
        <f>Inputs!$B$10</f>
        <v>20.00</v>
      </c>
      <c r="G31" s="3" t="str">
        <f>Inputs!$B$11</f>
        <v>30.00</v>
      </c>
      <c r="H31" s="3" t="str">
        <f>Inputs!$B$12/30</f>
        <v>50.00</v>
      </c>
      <c r="I31" s="3" t="str">
        <f t="shared" si="1"/>
        <v>246.85</v>
      </c>
      <c r="J31" s="3" t="str">
        <f>Inputs!$B$6*Inputs!$B$7</f>
        <v>0.35</v>
      </c>
      <c r="K31" s="3" t="str">
        <f>C31*Inputs!$B$4</f>
        <v>75,140.00</v>
      </c>
      <c r="L31" s="3" t="str">
        <f t="shared" si="2"/>
        <v>7,203.29</v>
      </c>
      <c r="M31" s="3" t="str">
        <f>Inputs!$B$3+L31</f>
        <v>87,203.29</v>
      </c>
      <c r="N31" s="3" t="str">
        <f t="shared" si="3"/>
        <v>-12,063.29</v>
      </c>
      <c r="O31" s="6" t="str">
        <f t="shared" si="4"/>
        <v>-13.83%</v>
      </c>
    </row>
    <row r="32" ht="15.75" customHeight="1">
      <c r="A32" s="2">
        <v>31.0</v>
      </c>
      <c r="B32" s="3" t="str">
        <f>Inputs!$B$2+Inputs!$B$6*A32</f>
        <v>221.70</v>
      </c>
      <c r="C32" s="3" t="str">
        <f>B32*Inputs!$B$5</f>
        <v>110.85</v>
      </c>
      <c r="D32" s="3" t="str">
        <f>Inputs!$B$8*(B32/Inputs!$B$2)</f>
        <v>3.33</v>
      </c>
      <c r="E32" s="3" t="str">
        <f>D32*Inputs!$B$9</f>
        <v>147.32</v>
      </c>
      <c r="F32" s="3" t="str">
        <f>Inputs!$B$10</f>
        <v>20.00</v>
      </c>
      <c r="G32" s="3" t="str">
        <f>Inputs!$B$11</f>
        <v>30.00</v>
      </c>
      <c r="H32" s="3" t="str">
        <f>Inputs!$B$12/30</f>
        <v>50.00</v>
      </c>
      <c r="I32" s="3" t="str">
        <f t="shared" si="1"/>
        <v>247.32</v>
      </c>
      <c r="J32" s="3" t="str">
        <f>Inputs!$B$6*Inputs!$B$7</f>
        <v>0.35</v>
      </c>
      <c r="K32" s="3" t="str">
        <f>C32*Inputs!$B$4</f>
        <v>75,378.00</v>
      </c>
      <c r="L32" s="3" t="str">
        <f t="shared" si="2"/>
        <v>7,450.61</v>
      </c>
      <c r="M32" s="3" t="str">
        <f>Inputs!$B$3+L32</f>
        <v>87,450.61</v>
      </c>
      <c r="N32" s="3" t="str">
        <f t="shared" si="3"/>
        <v>-12,072.61</v>
      </c>
      <c r="O32" s="6" t="str">
        <f t="shared" si="4"/>
        <v>-13.81%</v>
      </c>
    </row>
    <row r="33" ht="15.75" customHeight="1">
      <c r="A33" s="2">
        <v>32.0</v>
      </c>
      <c r="B33" s="3" t="str">
        <f>Inputs!$B$2+Inputs!$B$6*A33</f>
        <v>222.40</v>
      </c>
      <c r="C33" s="3" t="str">
        <f>B33*Inputs!$B$5</f>
        <v>111.20</v>
      </c>
      <c r="D33" s="3" t="str">
        <f>Inputs!$B$8*(B33/Inputs!$B$2)</f>
        <v>3.34</v>
      </c>
      <c r="E33" s="3" t="str">
        <f>D33*Inputs!$B$9</f>
        <v>147.78</v>
      </c>
      <c r="F33" s="3" t="str">
        <f>Inputs!$B$10</f>
        <v>20.00</v>
      </c>
      <c r="G33" s="3" t="str">
        <f>Inputs!$B$11</f>
        <v>30.00</v>
      </c>
      <c r="H33" s="3" t="str">
        <f>Inputs!$B$12/30</f>
        <v>50.00</v>
      </c>
      <c r="I33" s="3" t="str">
        <f t="shared" si="1"/>
        <v>247.78</v>
      </c>
      <c r="J33" s="3" t="str">
        <f>Inputs!$B$6*Inputs!$B$7</f>
        <v>0.35</v>
      </c>
      <c r="K33" s="3" t="str">
        <f>C33*Inputs!$B$4</f>
        <v>75,616.00</v>
      </c>
      <c r="L33" s="3" t="str">
        <f t="shared" si="2"/>
        <v>7,698.40</v>
      </c>
      <c r="M33" s="3" t="str">
        <f>Inputs!$B$3+L33</f>
        <v>87,698.40</v>
      </c>
      <c r="N33" s="3" t="str">
        <f t="shared" si="3"/>
        <v>-12,082.40</v>
      </c>
      <c r="O33" s="6" t="str">
        <f t="shared" si="4"/>
        <v>-13.78%</v>
      </c>
    </row>
    <row r="34" ht="15.75" customHeight="1">
      <c r="A34" s="2">
        <v>33.0</v>
      </c>
      <c r="B34" s="3" t="str">
        <f>Inputs!$B$2+Inputs!$B$6*A34</f>
        <v>223.10</v>
      </c>
      <c r="C34" s="3" t="str">
        <f>B34*Inputs!$B$5</f>
        <v>111.55</v>
      </c>
      <c r="D34" s="3" t="str">
        <f>Inputs!$B$8*(B34/Inputs!$B$2)</f>
        <v>3.35</v>
      </c>
      <c r="E34" s="3" t="str">
        <f>D34*Inputs!$B$9</f>
        <v>148.25</v>
      </c>
      <c r="F34" s="3" t="str">
        <f>Inputs!$B$10</f>
        <v>20.00</v>
      </c>
      <c r="G34" s="3" t="str">
        <f>Inputs!$B$11</f>
        <v>30.00</v>
      </c>
      <c r="H34" s="3" t="str">
        <f>Inputs!$B$12/30</f>
        <v>50.00</v>
      </c>
      <c r="I34" s="3" t="str">
        <f t="shared" si="1"/>
        <v>248.25</v>
      </c>
      <c r="J34" s="3" t="str">
        <f>Inputs!$B$6*Inputs!$B$7</f>
        <v>0.35</v>
      </c>
      <c r="K34" s="3" t="str">
        <f>C34*Inputs!$B$4</f>
        <v>75,854.00</v>
      </c>
      <c r="L34" s="3" t="str">
        <f t="shared" si="2"/>
        <v>7,946.65</v>
      </c>
      <c r="M34" s="3" t="str">
        <f>Inputs!$B$3+L34</f>
        <v>87,946.65</v>
      </c>
      <c r="N34" s="3" t="str">
        <f t="shared" si="3"/>
        <v>-12,092.65</v>
      </c>
      <c r="O34" s="6" t="str">
        <f t="shared" si="4"/>
        <v>-13.75%</v>
      </c>
    </row>
    <row r="35" ht="15.75" customHeight="1">
      <c r="A35" s="2">
        <v>34.0</v>
      </c>
      <c r="B35" s="3" t="str">
        <f>Inputs!$B$2+Inputs!$B$6*A35</f>
        <v>223.80</v>
      </c>
      <c r="C35" s="3" t="str">
        <f>B35*Inputs!$B$5</f>
        <v>111.90</v>
      </c>
      <c r="D35" s="3" t="str">
        <f>Inputs!$B$8*(B35/Inputs!$B$2)</f>
        <v>3.36</v>
      </c>
      <c r="E35" s="3" t="str">
        <f>D35*Inputs!$B$9</f>
        <v>148.72</v>
      </c>
      <c r="F35" s="3" t="str">
        <f>Inputs!$B$10</f>
        <v>20.00</v>
      </c>
      <c r="G35" s="3" t="str">
        <f>Inputs!$B$11</f>
        <v>30.00</v>
      </c>
      <c r="H35" s="3" t="str">
        <f>Inputs!$B$12/30</f>
        <v>50.00</v>
      </c>
      <c r="I35" s="3" t="str">
        <f t="shared" si="1"/>
        <v>248.72</v>
      </c>
      <c r="J35" s="3" t="str">
        <f>Inputs!$B$6*Inputs!$B$7</f>
        <v>0.35</v>
      </c>
      <c r="K35" s="3" t="str">
        <f>C35*Inputs!$B$4</f>
        <v>76,092.00</v>
      </c>
      <c r="L35" s="3" t="str">
        <f t="shared" si="2"/>
        <v>8,195.36</v>
      </c>
      <c r="M35" s="3" t="str">
        <f>Inputs!$B$3+L35</f>
        <v>88,195.36</v>
      </c>
      <c r="N35" s="3" t="str">
        <f t="shared" si="3"/>
        <v>-12,103.36</v>
      </c>
      <c r="O35" s="6" t="str">
        <f t="shared" si="4"/>
        <v>-13.72%</v>
      </c>
    </row>
    <row r="36" ht="15.75" customHeight="1">
      <c r="A36" s="2">
        <v>35.0</v>
      </c>
      <c r="B36" s="3" t="str">
        <f>Inputs!$B$2+Inputs!$B$6*A36</f>
        <v>224.50</v>
      </c>
      <c r="C36" s="3" t="str">
        <f>B36*Inputs!$B$5</f>
        <v>112.25</v>
      </c>
      <c r="D36" s="3" t="str">
        <f>Inputs!$B$8*(B36/Inputs!$B$2)</f>
        <v>3.37</v>
      </c>
      <c r="E36" s="3" t="str">
        <f>D36*Inputs!$B$9</f>
        <v>149.18</v>
      </c>
      <c r="F36" s="3" t="str">
        <f>Inputs!$B$10</f>
        <v>20.00</v>
      </c>
      <c r="G36" s="3" t="str">
        <f>Inputs!$B$11</f>
        <v>30.00</v>
      </c>
      <c r="H36" s="3" t="str">
        <f>Inputs!$B$12/30</f>
        <v>50.00</v>
      </c>
      <c r="I36" s="3" t="str">
        <f t="shared" si="1"/>
        <v>249.18</v>
      </c>
      <c r="J36" s="3" t="str">
        <f>Inputs!$B$6*Inputs!$B$7</f>
        <v>0.35</v>
      </c>
      <c r="K36" s="3" t="str">
        <f>C36*Inputs!$B$4</f>
        <v>76,330.00</v>
      </c>
      <c r="L36" s="3" t="str">
        <f t="shared" si="2"/>
        <v>8,444.54</v>
      </c>
      <c r="M36" s="3" t="str">
        <f>Inputs!$B$3+L36</f>
        <v>88,444.54</v>
      </c>
      <c r="N36" s="3" t="str">
        <f t="shared" si="3"/>
        <v>-12,114.54</v>
      </c>
      <c r="O36" s="6" t="str">
        <f t="shared" si="4"/>
        <v>-13.70%</v>
      </c>
    </row>
    <row r="37" ht="15.75" customHeight="1">
      <c r="A37" s="2">
        <v>36.0</v>
      </c>
      <c r="B37" s="3" t="str">
        <f>Inputs!$B$2+Inputs!$B$6*A37</f>
        <v>225.20</v>
      </c>
      <c r="C37" s="3" t="str">
        <f>B37*Inputs!$B$5</f>
        <v>112.60</v>
      </c>
      <c r="D37" s="3" t="str">
        <f>Inputs!$B$8*(B37/Inputs!$B$2)</f>
        <v>3.38</v>
      </c>
      <c r="E37" s="3" t="str">
        <f>D37*Inputs!$B$9</f>
        <v>149.65</v>
      </c>
      <c r="F37" s="3" t="str">
        <f>Inputs!$B$10</f>
        <v>20.00</v>
      </c>
      <c r="G37" s="3" t="str">
        <f>Inputs!$B$11</f>
        <v>30.00</v>
      </c>
      <c r="H37" s="3" t="str">
        <f>Inputs!$B$12/30</f>
        <v>50.00</v>
      </c>
      <c r="I37" s="3" t="str">
        <f t="shared" si="1"/>
        <v>249.65</v>
      </c>
      <c r="J37" s="3" t="str">
        <f>Inputs!$B$6*Inputs!$B$7</f>
        <v>0.35</v>
      </c>
      <c r="K37" s="3" t="str">
        <f>C37*Inputs!$B$4</f>
        <v>76,568.00</v>
      </c>
      <c r="L37" s="3" t="str">
        <f t="shared" si="2"/>
        <v>8,694.19</v>
      </c>
      <c r="M37" s="3" t="str">
        <f>Inputs!$B$3+L37</f>
        <v>88,694.19</v>
      </c>
      <c r="N37" s="3" t="str">
        <f t="shared" si="3"/>
        <v>-12,126.19</v>
      </c>
      <c r="O37" s="6" t="str">
        <f t="shared" si="4"/>
        <v>-13.67%</v>
      </c>
    </row>
    <row r="38" ht="15.75" customHeight="1">
      <c r="A38" s="2">
        <v>37.0</v>
      </c>
      <c r="B38" s="3" t="str">
        <f>Inputs!$B$2+Inputs!$B$6*A38</f>
        <v>225.90</v>
      </c>
      <c r="C38" s="3" t="str">
        <f>B38*Inputs!$B$5</f>
        <v>112.95</v>
      </c>
      <c r="D38" s="3" t="str">
        <f>Inputs!$B$8*(B38/Inputs!$B$2)</f>
        <v>3.39</v>
      </c>
      <c r="E38" s="3" t="str">
        <f>D38*Inputs!$B$9</f>
        <v>150.11</v>
      </c>
      <c r="F38" s="3" t="str">
        <f>Inputs!$B$10</f>
        <v>20.00</v>
      </c>
      <c r="G38" s="3" t="str">
        <f>Inputs!$B$11</f>
        <v>30.00</v>
      </c>
      <c r="H38" s="3" t="str">
        <f>Inputs!$B$12/30</f>
        <v>50.00</v>
      </c>
      <c r="I38" s="3" t="str">
        <f t="shared" si="1"/>
        <v>250.11</v>
      </c>
      <c r="J38" s="3" t="str">
        <f>Inputs!$B$6*Inputs!$B$7</f>
        <v>0.35</v>
      </c>
      <c r="K38" s="3" t="str">
        <f>C38*Inputs!$B$4</f>
        <v>76,806.00</v>
      </c>
      <c r="L38" s="3" t="str">
        <f t="shared" si="2"/>
        <v>8,944.30</v>
      </c>
      <c r="M38" s="3" t="str">
        <f>Inputs!$B$3+L38</f>
        <v>88,944.30</v>
      </c>
      <c r="N38" s="3" t="str">
        <f t="shared" si="3"/>
        <v>-12,138.30</v>
      </c>
      <c r="O38" s="6" t="str">
        <f t="shared" si="4"/>
        <v>-13.65%</v>
      </c>
    </row>
    <row r="39" ht="15.75" customHeight="1">
      <c r="A39" s="2">
        <v>38.0</v>
      </c>
      <c r="B39" s="3" t="str">
        <f>Inputs!$B$2+Inputs!$B$6*A39</f>
        <v>226.60</v>
      </c>
      <c r="C39" s="3" t="str">
        <f>B39*Inputs!$B$5</f>
        <v>113.30</v>
      </c>
      <c r="D39" s="3" t="str">
        <f>Inputs!$B$8*(B39/Inputs!$B$2)</f>
        <v>3.40</v>
      </c>
      <c r="E39" s="3" t="str">
        <f>D39*Inputs!$B$9</f>
        <v>150.58</v>
      </c>
      <c r="F39" s="3" t="str">
        <f>Inputs!$B$10</f>
        <v>20.00</v>
      </c>
      <c r="G39" s="3" t="str">
        <f>Inputs!$B$11</f>
        <v>30.00</v>
      </c>
      <c r="H39" s="3" t="str">
        <f>Inputs!$B$12/30</f>
        <v>50.00</v>
      </c>
      <c r="I39" s="3" t="str">
        <f t="shared" si="1"/>
        <v>250.58</v>
      </c>
      <c r="J39" s="3" t="str">
        <f>Inputs!$B$6*Inputs!$B$7</f>
        <v>0.35</v>
      </c>
      <c r="K39" s="3" t="str">
        <f>C39*Inputs!$B$4</f>
        <v>77,044.00</v>
      </c>
      <c r="L39" s="3" t="str">
        <f t="shared" si="2"/>
        <v>9,194.88</v>
      </c>
      <c r="M39" s="3" t="str">
        <f>Inputs!$B$3+L39</f>
        <v>89,194.88</v>
      </c>
      <c r="N39" s="3" t="str">
        <f t="shared" si="3"/>
        <v>-12,150.88</v>
      </c>
      <c r="O39" s="6" t="str">
        <f t="shared" si="4"/>
        <v>-13.62%</v>
      </c>
    </row>
    <row r="40" ht="15.75" customHeight="1">
      <c r="A40" s="2">
        <v>39.0</v>
      </c>
      <c r="B40" s="3" t="str">
        <f>Inputs!$B$2+Inputs!$B$6*A40</f>
        <v>227.30</v>
      </c>
      <c r="C40" s="3" t="str">
        <f>B40*Inputs!$B$5</f>
        <v>113.65</v>
      </c>
      <c r="D40" s="3" t="str">
        <f>Inputs!$B$8*(B40/Inputs!$B$2)</f>
        <v>3.41</v>
      </c>
      <c r="E40" s="3" t="str">
        <f>D40*Inputs!$B$9</f>
        <v>151.04</v>
      </c>
      <c r="F40" s="3" t="str">
        <f>Inputs!$B$10</f>
        <v>20.00</v>
      </c>
      <c r="G40" s="3" t="str">
        <f>Inputs!$B$11</f>
        <v>30.00</v>
      </c>
      <c r="H40" s="3" t="str">
        <f>Inputs!$B$12/30</f>
        <v>50.00</v>
      </c>
      <c r="I40" s="3" t="str">
        <f t="shared" si="1"/>
        <v>251.04</v>
      </c>
      <c r="J40" s="3" t="str">
        <f>Inputs!$B$6*Inputs!$B$7</f>
        <v>0.35</v>
      </c>
      <c r="K40" s="3" t="str">
        <f>C40*Inputs!$B$4</f>
        <v>77,282.00</v>
      </c>
      <c r="L40" s="3" t="str">
        <f t="shared" si="2"/>
        <v>9,445.92</v>
      </c>
      <c r="M40" s="3" t="str">
        <f>Inputs!$B$3+L40</f>
        <v>89,445.92</v>
      </c>
      <c r="N40" s="3" t="str">
        <f t="shared" si="3"/>
        <v>-12,163.92</v>
      </c>
      <c r="O40" s="6" t="str">
        <f t="shared" si="4"/>
        <v>-13.60%</v>
      </c>
    </row>
    <row r="41" ht="15.75" customHeight="1">
      <c r="A41" s="2">
        <v>40.0</v>
      </c>
      <c r="B41" s="3" t="str">
        <f>Inputs!$B$2+Inputs!$B$6*A41</f>
        <v>228.00</v>
      </c>
      <c r="C41" s="3" t="str">
        <f>B41*Inputs!$B$5</f>
        <v>114.00</v>
      </c>
      <c r="D41" s="3" t="str">
        <f>Inputs!$B$8*(B41/Inputs!$B$2)</f>
        <v>3.42</v>
      </c>
      <c r="E41" s="3" t="str">
        <f>D41*Inputs!$B$9</f>
        <v>151.51</v>
      </c>
      <c r="F41" s="3" t="str">
        <f>Inputs!$B$10</f>
        <v>20.00</v>
      </c>
      <c r="G41" s="3" t="str">
        <f>Inputs!$B$11</f>
        <v>30.00</v>
      </c>
      <c r="H41" s="3" t="str">
        <f>Inputs!$B$12/30</f>
        <v>50.00</v>
      </c>
      <c r="I41" s="3" t="str">
        <f t="shared" si="1"/>
        <v>251.51</v>
      </c>
      <c r="J41" s="3" t="str">
        <f>Inputs!$B$6*Inputs!$B$7</f>
        <v>0.35</v>
      </c>
      <c r="K41" s="3" t="str">
        <f>C41*Inputs!$B$4</f>
        <v>77,520.00</v>
      </c>
      <c r="L41" s="3" t="str">
        <f t="shared" si="2"/>
        <v>9,697.42</v>
      </c>
      <c r="M41" s="3" t="str">
        <f>Inputs!$B$3+L41</f>
        <v>89,697.42</v>
      </c>
      <c r="N41" s="3" t="str">
        <f t="shared" si="3"/>
        <v>-12,177.42</v>
      </c>
      <c r="O41" s="6" t="str">
        <f t="shared" si="4"/>
        <v>-13.58%</v>
      </c>
    </row>
    <row r="42" ht="15.75" customHeight="1">
      <c r="A42" s="2">
        <v>41.0</v>
      </c>
      <c r="B42" s="3" t="str">
        <f>Inputs!$B$2+Inputs!$B$6*A42</f>
        <v>228.70</v>
      </c>
      <c r="C42" s="3" t="str">
        <f>B42*Inputs!$B$5</f>
        <v>114.35</v>
      </c>
      <c r="D42" s="3" t="str">
        <f>Inputs!$B$8*(B42/Inputs!$B$2)</f>
        <v>3.43</v>
      </c>
      <c r="E42" s="3" t="str">
        <f>D42*Inputs!$B$9</f>
        <v>151.97</v>
      </c>
      <c r="F42" s="3" t="str">
        <f>Inputs!$B$10</f>
        <v>20.00</v>
      </c>
      <c r="G42" s="3" t="str">
        <f>Inputs!$B$11</f>
        <v>30.00</v>
      </c>
      <c r="H42" s="3" t="str">
        <f>Inputs!$B$12/30</f>
        <v>50.00</v>
      </c>
      <c r="I42" s="3" t="str">
        <f t="shared" si="1"/>
        <v>251.97</v>
      </c>
      <c r="J42" s="3" t="str">
        <f>Inputs!$B$6*Inputs!$B$7</f>
        <v>0.35</v>
      </c>
      <c r="K42" s="3" t="str">
        <f>C42*Inputs!$B$4</f>
        <v>77,758.00</v>
      </c>
      <c r="L42" s="3" t="str">
        <f t="shared" si="2"/>
        <v>9,949.39</v>
      </c>
      <c r="M42" s="3" t="str">
        <f>Inputs!$B$3+L42</f>
        <v>89,949.39</v>
      </c>
      <c r="N42" s="3" t="str">
        <f t="shared" si="3"/>
        <v>-12,191.39</v>
      </c>
      <c r="O42" s="6" t="str">
        <f t="shared" si="4"/>
        <v>-13.55%</v>
      </c>
    </row>
    <row r="43" ht="15.75" customHeight="1">
      <c r="A43" s="2">
        <v>42.0</v>
      </c>
      <c r="B43" s="3" t="str">
        <f>Inputs!$B$2+Inputs!$B$6*A43</f>
        <v>229.40</v>
      </c>
      <c r="C43" s="3" t="str">
        <f>B43*Inputs!$B$5</f>
        <v>114.70</v>
      </c>
      <c r="D43" s="3" t="str">
        <f>Inputs!$B$8*(B43/Inputs!$B$2)</f>
        <v>3.44</v>
      </c>
      <c r="E43" s="3" t="str">
        <f>D43*Inputs!$B$9</f>
        <v>152.44</v>
      </c>
      <c r="F43" s="3" t="str">
        <f>Inputs!$B$10</f>
        <v>20.00</v>
      </c>
      <c r="G43" s="3" t="str">
        <f>Inputs!$B$11</f>
        <v>30.00</v>
      </c>
      <c r="H43" s="3" t="str">
        <f>Inputs!$B$12/30</f>
        <v>50.00</v>
      </c>
      <c r="I43" s="3" t="str">
        <f t="shared" si="1"/>
        <v>252.44</v>
      </c>
      <c r="J43" s="3" t="str">
        <f>Inputs!$B$6*Inputs!$B$7</f>
        <v>0.35</v>
      </c>
      <c r="K43" s="3" t="str">
        <f>C43*Inputs!$B$4</f>
        <v>77,996.00</v>
      </c>
      <c r="L43" s="3" t="str">
        <f t="shared" si="2"/>
        <v>10,201.83</v>
      </c>
      <c r="M43" s="3" t="str">
        <f>Inputs!$B$3+L43</f>
        <v>90,201.83</v>
      </c>
      <c r="N43" s="3" t="str">
        <f t="shared" si="3"/>
        <v>-12,205.83</v>
      </c>
      <c r="O43" s="6" t="str">
        <f t="shared" si="4"/>
        <v>-13.53%</v>
      </c>
    </row>
    <row r="44" ht="15.75" customHeight="1">
      <c r="A44" s="2">
        <v>43.0</v>
      </c>
      <c r="B44" s="3" t="str">
        <f>Inputs!$B$2+Inputs!$B$6*A44</f>
        <v>230.10</v>
      </c>
      <c r="C44" s="3" t="str">
        <f>B44*Inputs!$B$5</f>
        <v>115.05</v>
      </c>
      <c r="D44" s="3" t="str">
        <f>Inputs!$B$8*(B44/Inputs!$B$2)</f>
        <v>3.45</v>
      </c>
      <c r="E44" s="3" t="str">
        <f>D44*Inputs!$B$9</f>
        <v>152.90</v>
      </c>
      <c r="F44" s="3" t="str">
        <f>Inputs!$B$10</f>
        <v>20.00</v>
      </c>
      <c r="G44" s="3" t="str">
        <f>Inputs!$B$11</f>
        <v>30.00</v>
      </c>
      <c r="H44" s="3" t="str">
        <f>Inputs!$B$12/30</f>
        <v>50.00</v>
      </c>
      <c r="I44" s="3" t="str">
        <f t="shared" si="1"/>
        <v>252.90</v>
      </c>
      <c r="J44" s="3" t="str">
        <f>Inputs!$B$6*Inputs!$B$7</f>
        <v>0.35</v>
      </c>
      <c r="K44" s="3" t="str">
        <f>C44*Inputs!$B$4</f>
        <v>78,234.00</v>
      </c>
      <c r="L44" s="3" t="str">
        <f t="shared" si="2"/>
        <v>10,454.73</v>
      </c>
      <c r="M44" s="3" t="str">
        <f>Inputs!$B$3+L44</f>
        <v>90,454.73</v>
      </c>
      <c r="N44" s="3" t="str">
        <f t="shared" si="3"/>
        <v>-12,220.73</v>
      </c>
      <c r="O44" s="6" t="str">
        <f t="shared" si="4"/>
        <v>-13.51%</v>
      </c>
    </row>
    <row r="45" ht="15.75" customHeight="1">
      <c r="A45" s="2">
        <v>44.0</v>
      </c>
      <c r="B45" s="3" t="str">
        <f>Inputs!$B$2+Inputs!$B$6*A45</f>
        <v>230.80</v>
      </c>
      <c r="C45" s="3" t="str">
        <f>B45*Inputs!$B$5</f>
        <v>115.40</v>
      </c>
      <c r="D45" s="3" t="str">
        <f>Inputs!$B$8*(B45/Inputs!$B$2)</f>
        <v>3.46</v>
      </c>
      <c r="E45" s="3" t="str">
        <f>D45*Inputs!$B$9</f>
        <v>153.37</v>
      </c>
      <c r="F45" s="3" t="str">
        <f>Inputs!$B$10</f>
        <v>20.00</v>
      </c>
      <c r="G45" s="3" t="str">
        <f>Inputs!$B$11</f>
        <v>30.00</v>
      </c>
      <c r="H45" s="3" t="str">
        <f>Inputs!$B$12/30</f>
        <v>50.00</v>
      </c>
      <c r="I45" s="3" t="str">
        <f t="shared" si="1"/>
        <v>253.37</v>
      </c>
      <c r="J45" s="3" t="str">
        <f>Inputs!$B$6*Inputs!$B$7</f>
        <v>0.35</v>
      </c>
      <c r="K45" s="3" t="str">
        <f>C45*Inputs!$B$4</f>
        <v>78,472.00</v>
      </c>
      <c r="L45" s="3" t="str">
        <f t="shared" si="2"/>
        <v>10,708.10</v>
      </c>
      <c r="M45" s="3" t="str">
        <f>Inputs!$B$3+L45</f>
        <v>90,708.10</v>
      </c>
      <c r="N45" s="3" t="str">
        <f t="shared" si="3"/>
        <v>-12,236.10</v>
      </c>
      <c r="O45" s="6" t="str">
        <f t="shared" si="4"/>
        <v>-13.49%</v>
      </c>
    </row>
    <row r="46" ht="15.75" customHeight="1">
      <c r="A46" s="2">
        <v>45.0</v>
      </c>
      <c r="B46" s="3" t="str">
        <f>Inputs!$B$2+Inputs!$B$6*A46</f>
        <v>231.50</v>
      </c>
      <c r="C46" s="3" t="str">
        <f>B46*Inputs!$B$5</f>
        <v>115.75</v>
      </c>
      <c r="D46" s="3" t="str">
        <f>Inputs!$B$8*(B46/Inputs!$B$2)</f>
        <v>3.47</v>
      </c>
      <c r="E46" s="3" t="str">
        <f>D46*Inputs!$B$9</f>
        <v>153.83</v>
      </c>
      <c r="F46" s="3" t="str">
        <f>Inputs!$B$10</f>
        <v>20.00</v>
      </c>
      <c r="G46" s="3" t="str">
        <f>Inputs!$B$11</f>
        <v>30.00</v>
      </c>
      <c r="H46" s="3" t="str">
        <f>Inputs!$B$12/30</f>
        <v>50.00</v>
      </c>
      <c r="I46" s="3" t="str">
        <f t="shared" si="1"/>
        <v>253.83</v>
      </c>
      <c r="J46" s="3" t="str">
        <f>Inputs!$B$6*Inputs!$B$7</f>
        <v>0.35</v>
      </c>
      <c r="K46" s="3" t="str">
        <f>C46*Inputs!$B$4</f>
        <v>78,710.00</v>
      </c>
      <c r="L46" s="3" t="str">
        <f t="shared" si="2"/>
        <v>10,961.93</v>
      </c>
      <c r="M46" s="3" t="str">
        <f>Inputs!$B$3+L46</f>
        <v>90,961.93</v>
      </c>
      <c r="N46" s="3" t="str">
        <f t="shared" si="3"/>
        <v>-12,251.93</v>
      </c>
      <c r="O46" s="6" t="str">
        <f t="shared" si="4"/>
        <v>-13.47%</v>
      </c>
    </row>
    <row r="47" ht="15.75" customHeight="1">
      <c r="A47" s="2">
        <v>46.0</v>
      </c>
      <c r="B47" s="3" t="str">
        <f>Inputs!$B$2+Inputs!$B$6*A47</f>
        <v>232.20</v>
      </c>
      <c r="C47" s="3" t="str">
        <f>B47*Inputs!$B$5</f>
        <v>116.10</v>
      </c>
      <c r="D47" s="3" t="str">
        <f>Inputs!$B$8*(B47/Inputs!$B$2)</f>
        <v>3.48</v>
      </c>
      <c r="E47" s="3" t="str">
        <f>D47*Inputs!$B$9</f>
        <v>154.30</v>
      </c>
      <c r="F47" s="3" t="str">
        <f>Inputs!$B$10</f>
        <v>20.00</v>
      </c>
      <c r="G47" s="3" t="str">
        <f>Inputs!$B$11</f>
        <v>30.00</v>
      </c>
      <c r="H47" s="3" t="str">
        <f>Inputs!$B$12/30</f>
        <v>50.00</v>
      </c>
      <c r="I47" s="3" t="str">
        <f t="shared" si="1"/>
        <v>254.30</v>
      </c>
      <c r="J47" s="3" t="str">
        <f>Inputs!$B$6*Inputs!$B$7</f>
        <v>0.35</v>
      </c>
      <c r="K47" s="3" t="str">
        <f>C47*Inputs!$B$4</f>
        <v>78,948.00</v>
      </c>
      <c r="L47" s="3" t="str">
        <f t="shared" si="2"/>
        <v>11,216.23</v>
      </c>
      <c r="M47" s="3" t="str">
        <f>Inputs!$B$3+L47</f>
        <v>91,216.23</v>
      </c>
      <c r="N47" s="3" t="str">
        <f t="shared" si="3"/>
        <v>-12,268.23</v>
      </c>
      <c r="O47" s="6" t="str">
        <f t="shared" si="4"/>
        <v>-13.45%</v>
      </c>
    </row>
    <row r="48" ht="15.75" customHeight="1">
      <c r="A48" s="2">
        <v>47.0</v>
      </c>
      <c r="B48" s="3" t="str">
        <f>Inputs!$B$2+Inputs!$B$6*A48</f>
        <v>232.90</v>
      </c>
      <c r="C48" s="3" t="str">
        <f>B48*Inputs!$B$5</f>
        <v>116.45</v>
      </c>
      <c r="D48" s="3" t="str">
        <f>Inputs!$B$8*(B48/Inputs!$B$2)</f>
        <v>3.49</v>
      </c>
      <c r="E48" s="3" t="str">
        <f>D48*Inputs!$B$9</f>
        <v>154.76</v>
      </c>
      <c r="F48" s="3" t="str">
        <f>Inputs!$B$10</f>
        <v>20.00</v>
      </c>
      <c r="G48" s="3" t="str">
        <f>Inputs!$B$11</f>
        <v>30.00</v>
      </c>
      <c r="H48" s="3" t="str">
        <f>Inputs!$B$12/30</f>
        <v>50.00</v>
      </c>
      <c r="I48" s="3" t="str">
        <f t="shared" si="1"/>
        <v>254.76</v>
      </c>
      <c r="J48" s="3" t="str">
        <f>Inputs!$B$6*Inputs!$B$7</f>
        <v>0.35</v>
      </c>
      <c r="K48" s="3" t="str">
        <f>C48*Inputs!$B$4</f>
        <v>79,186.00</v>
      </c>
      <c r="L48" s="3" t="str">
        <f t="shared" si="2"/>
        <v>11,470.99</v>
      </c>
      <c r="M48" s="3" t="str">
        <f>Inputs!$B$3+L48</f>
        <v>91,470.99</v>
      </c>
      <c r="N48" s="3" t="str">
        <f t="shared" si="3"/>
        <v>-12,284.99</v>
      </c>
      <c r="O48" s="6" t="str">
        <f t="shared" si="4"/>
        <v>-13.43%</v>
      </c>
    </row>
    <row r="49" ht="15.75" customHeight="1">
      <c r="A49" s="2">
        <v>48.0</v>
      </c>
      <c r="B49" s="3" t="str">
        <f>Inputs!$B$2+Inputs!$B$6*A49</f>
        <v>233.60</v>
      </c>
      <c r="C49" s="3" t="str">
        <f>B49*Inputs!$B$5</f>
        <v>116.80</v>
      </c>
      <c r="D49" s="3" t="str">
        <f>Inputs!$B$8*(B49/Inputs!$B$2)</f>
        <v>3.50</v>
      </c>
      <c r="E49" s="3" t="str">
        <f>D49*Inputs!$B$9</f>
        <v>155.23</v>
      </c>
      <c r="F49" s="3" t="str">
        <f>Inputs!$B$10</f>
        <v>20.00</v>
      </c>
      <c r="G49" s="3" t="str">
        <f>Inputs!$B$11</f>
        <v>30.00</v>
      </c>
      <c r="H49" s="3" t="str">
        <f>Inputs!$B$12/30</f>
        <v>50.00</v>
      </c>
      <c r="I49" s="3" t="str">
        <f t="shared" si="1"/>
        <v>255.23</v>
      </c>
      <c r="J49" s="3" t="str">
        <f>Inputs!$B$6*Inputs!$B$7</f>
        <v>0.35</v>
      </c>
      <c r="K49" s="3" t="str">
        <f>C49*Inputs!$B$4</f>
        <v>79,424.00</v>
      </c>
      <c r="L49" s="3" t="str">
        <f t="shared" si="2"/>
        <v>11,726.22</v>
      </c>
      <c r="M49" s="3" t="str">
        <f>Inputs!$B$3+L49</f>
        <v>91,726.22</v>
      </c>
      <c r="N49" s="3" t="str">
        <f t="shared" si="3"/>
        <v>-12,302.22</v>
      </c>
      <c r="O49" s="6" t="str">
        <f t="shared" si="4"/>
        <v>-13.41%</v>
      </c>
    </row>
    <row r="50" ht="15.75" customHeight="1">
      <c r="A50" s="2">
        <v>49.0</v>
      </c>
      <c r="B50" s="3" t="str">
        <f>Inputs!$B$2+Inputs!$B$6*A50</f>
        <v>234.30</v>
      </c>
      <c r="C50" s="3" t="str">
        <f>B50*Inputs!$B$5</f>
        <v>117.15</v>
      </c>
      <c r="D50" s="3" t="str">
        <f>Inputs!$B$8*(B50/Inputs!$B$2)</f>
        <v>3.51</v>
      </c>
      <c r="E50" s="3" t="str">
        <f>D50*Inputs!$B$9</f>
        <v>155.69</v>
      </c>
      <c r="F50" s="3" t="str">
        <f>Inputs!$B$10</f>
        <v>20.00</v>
      </c>
      <c r="G50" s="3" t="str">
        <f>Inputs!$B$11</f>
        <v>30.00</v>
      </c>
      <c r="H50" s="3" t="str">
        <f>Inputs!$B$12/30</f>
        <v>50.00</v>
      </c>
      <c r="I50" s="3" t="str">
        <f t="shared" si="1"/>
        <v>255.69</v>
      </c>
      <c r="J50" s="3" t="str">
        <f>Inputs!$B$6*Inputs!$B$7</f>
        <v>0.35</v>
      </c>
      <c r="K50" s="3" t="str">
        <f>C50*Inputs!$B$4</f>
        <v>79,662.00</v>
      </c>
      <c r="L50" s="3" t="str">
        <f t="shared" si="2"/>
        <v>11,981.91</v>
      </c>
      <c r="M50" s="3" t="str">
        <f>Inputs!$B$3+L50</f>
        <v>91,981.91</v>
      </c>
      <c r="N50" s="3" t="str">
        <f t="shared" si="3"/>
        <v>-12,319.91</v>
      </c>
      <c r="O50" s="6" t="str">
        <f t="shared" si="4"/>
        <v>-13.39%</v>
      </c>
    </row>
    <row r="51" ht="15.75" customHeight="1">
      <c r="A51" s="2">
        <v>50.0</v>
      </c>
      <c r="B51" s="3" t="str">
        <f>Inputs!$B$2+Inputs!$B$6*A51</f>
        <v>235.00</v>
      </c>
      <c r="C51" s="3" t="str">
        <f>B51*Inputs!$B$5</f>
        <v>117.50</v>
      </c>
      <c r="D51" s="3" t="str">
        <f>Inputs!$B$8*(B51/Inputs!$B$2)</f>
        <v>3.53</v>
      </c>
      <c r="E51" s="3" t="str">
        <f>D51*Inputs!$B$9</f>
        <v>156.16</v>
      </c>
      <c r="F51" s="3" t="str">
        <f>Inputs!$B$10</f>
        <v>20.00</v>
      </c>
      <c r="G51" s="3" t="str">
        <f>Inputs!$B$11</f>
        <v>30.00</v>
      </c>
      <c r="H51" s="3" t="str">
        <f>Inputs!$B$12/30</f>
        <v>50.00</v>
      </c>
      <c r="I51" s="3" t="str">
        <f t="shared" si="1"/>
        <v>256.16</v>
      </c>
      <c r="J51" s="3" t="str">
        <f>Inputs!$B$6*Inputs!$B$7</f>
        <v>0.35</v>
      </c>
      <c r="K51" s="3" t="str">
        <f>C51*Inputs!$B$4</f>
        <v>79,900.00</v>
      </c>
      <c r="L51" s="3" t="str">
        <f t="shared" si="2"/>
        <v>12,238.07</v>
      </c>
      <c r="M51" s="3" t="str">
        <f>Inputs!$B$3+L51</f>
        <v>92,238.07</v>
      </c>
      <c r="N51" s="3" t="str">
        <f t="shared" si="3"/>
        <v>-12,338.07</v>
      </c>
      <c r="O51" s="6" t="str">
        <f t="shared" si="4"/>
        <v>-13.38%</v>
      </c>
    </row>
    <row r="52" ht="15.75" customHeight="1">
      <c r="A52" s="2">
        <v>51.0</v>
      </c>
      <c r="B52" s="3" t="str">
        <f>Inputs!$B$2+Inputs!$B$6*A52</f>
        <v>235.70</v>
      </c>
      <c r="C52" s="3" t="str">
        <f>B52*Inputs!$B$5</f>
        <v>117.85</v>
      </c>
      <c r="D52" s="3" t="str">
        <f>Inputs!$B$8*(B52/Inputs!$B$2)</f>
        <v>3.54</v>
      </c>
      <c r="E52" s="3" t="str">
        <f>D52*Inputs!$B$9</f>
        <v>156.62</v>
      </c>
      <c r="F52" s="3" t="str">
        <f>Inputs!$B$10</f>
        <v>20.00</v>
      </c>
      <c r="G52" s="3" t="str">
        <f>Inputs!$B$11</f>
        <v>30.00</v>
      </c>
      <c r="H52" s="3" t="str">
        <f>Inputs!$B$12/30</f>
        <v>50.00</v>
      </c>
      <c r="I52" s="3" t="str">
        <f t="shared" si="1"/>
        <v>256.62</v>
      </c>
      <c r="J52" s="3" t="str">
        <f>Inputs!$B$6*Inputs!$B$7</f>
        <v>0.35</v>
      </c>
      <c r="K52" s="3" t="str">
        <f>C52*Inputs!$B$4</f>
        <v>80,138.00</v>
      </c>
      <c r="L52" s="3" t="str">
        <f t="shared" si="2"/>
        <v>12,494.69</v>
      </c>
      <c r="M52" s="3" t="str">
        <f>Inputs!$B$3+L52</f>
        <v>92,494.69</v>
      </c>
      <c r="N52" s="3" t="str">
        <f t="shared" si="3"/>
        <v>-12,356.69</v>
      </c>
      <c r="O52" s="6" t="str">
        <f t="shared" si="4"/>
        <v>-13.36%</v>
      </c>
    </row>
    <row r="53" ht="15.75" customHeight="1">
      <c r="A53" s="2">
        <v>52.0</v>
      </c>
      <c r="B53" s="3" t="str">
        <f>Inputs!$B$2+Inputs!$B$6*A53</f>
        <v>236.40</v>
      </c>
      <c r="C53" s="3" t="str">
        <f>B53*Inputs!$B$5</f>
        <v>118.20</v>
      </c>
      <c r="D53" s="3" t="str">
        <f>Inputs!$B$8*(B53/Inputs!$B$2)</f>
        <v>3.55</v>
      </c>
      <c r="E53" s="3" t="str">
        <f>D53*Inputs!$B$9</f>
        <v>157.09</v>
      </c>
      <c r="F53" s="3" t="str">
        <f>Inputs!$B$10</f>
        <v>20.00</v>
      </c>
      <c r="G53" s="3" t="str">
        <f>Inputs!$B$11</f>
        <v>30.00</v>
      </c>
      <c r="H53" s="3" t="str">
        <f>Inputs!$B$12/30</f>
        <v>50.00</v>
      </c>
      <c r="I53" s="3" t="str">
        <f t="shared" si="1"/>
        <v>257.09</v>
      </c>
      <c r="J53" s="3" t="str">
        <f>Inputs!$B$6*Inputs!$B$7</f>
        <v>0.35</v>
      </c>
      <c r="K53" s="3" t="str">
        <f>C53*Inputs!$B$4</f>
        <v>80,376.00</v>
      </c>
      <c r="L53" s="3" t="str">
        <f t="shared" si="2"/>
        <v>12,751.78</v>
      </c>
      <c r="M53" s="3" t="str">
        <f>Inputs!$B$3+L53</f>
        <v>92,751.78</v>
      </c>
      <c r="N53" s="3" t="str">
        <f t="shared" si="3"/>
        <v>-12,375.78</v>
      </c>
      <c r="O53" s="6" t="str">
        <f t="shared" si="4"/>
        <v>-13.34%</v>
      </c>
    </row>
    <row r="54" ht="15.75" customHeight="1">
      <c r="A54" s="2">
        <v>53.0</v>
      </c>
      <c r="B54" s="3" t="str">
        <f>Inputs!$B$2+Inputs!$B$6*A54</f>
        <v>237.10</v>
      </c>
      <c r="C54" s="3" t="str">
        <f>B54*Inputs!$B$5</f>
        <v>118.55</v>
      </c>
      <c r="D54" s="3" t="str">
        <f>Inputs!$B$8*(B54/Inputs!$B$2)</f>
        <v>3.56</v>
      </c>
      <c r="E54" s="3" t="str">
        <f>D54*Inputs!$B$9</f>
        <v>157.55</v>
      </c>
      <c r="F54" s="3" t="str">
        <f>Inputs!$B$10</f>
        <v>20.00</v>
      </c>
      <c r="G54" s="3" t="str">
        <f>Inputs!$B$11</f>
        <v>30.00</v>
      </c>
      <c r="H54" s="3" t="str">
        <f>Inputs!$B$12/30</f>
        <v>50.00</v>
      </c>
      <c r="I54" s="3" t="str">
        <f t="shared" si="1"/>
        <v>257.55</v>
      </c>
      <c r="J54" s="3" t="str">
        <f>Inputs!$B$6*Inputs!$B$7</f>
        <v>0.35</v>
      </c>
      <c r="K54" s="3" t="str">
        <f>C54*Inputs!$B$4</f>
        <v>80,614.00</v>
      </c>
      <c r="L54" s="3" t="str">
        <f t="shared" si="2"/>
        <v>13,009.33</v>
      </c>
      <c r="M54" s="3" t="str">
        <f>Inputs!$B$3+L54</f>
        <v>93,009.33</v>
      </c>
      <c r="N54" s="3" t="str">
        <f t="shared" si="3"/>
        <v>-12,395.33</v>
      </c>
      <c r="O54" s="6" t="str">
        <f t="shared" si="4"/>
        <v>-13.33%</v>
      </c>
    </row>
    <row r="55" ht="15.75" customHeight="1">
      <c r="A55" s="2">
        <v>54.0</v>
      </c>
      <c r="B55" s="3" t="str">
        <f>Inputs!$B$2+Inputs!$B$6*A55</f>
        <v>237.80</v>
      </c>
      <c r="C55" s="3" t="str">
        <f>B55*Inputs!$B$5</f>
        <v>118.90</v>
      </c>
      <c r="D55" s="3" t="str">
        <f>Inputs!$B$8*(B55/Inputs!$B$2)</f>
        <v>3.57</v>
      </c>
      <c r="E55" s="3" t="str">
        <f>D55*Inputs!$B$9</f>
        <v>158.02</v>
      </c>
      <c r="F55" s="3" t="str">
        <f>Inputs!$B$10</f>
        <v>20.00</v>
      </c>
      <c r="G55" s="3" t="str">
        <f>Inputs!$B$11</f>
        <v>30.00</v>
      </c>
      <c r="H55" s="3" t="str">
        <f>Inputs!$B$12/30</f>
        <v>50.00</v>
      </c>
      <c r="I55" s="3" t="str">
        <f t="shared" si="1"/>
        <v>258.02</v>
      </c>
      <c r="J55" s="3" t="str">
        <f>Inputs!$B$6*Inputs!$B$7</f>
        <v>0.35</v>
      </c>
      <c r="K55" s="3" t="str">
        <f>C55*Inputs!$B$4</f>
        <v>80,852.00</v>
      </c>
      <c r="L55" s="3" t="str">
        <f t="shared" si="2"/>
        <v>13,267.35</v>
      </c>
      <c r="M55" s="3" t="str">
        <f>Inputs!$B$3+L55</f>
        <v>93,267.35</v>
      </c>
      <c r="N55" s="3" t="str">
        <f t="shared" si="3"/>
        <v>-12,415.35</v>
      </c>
      <c r="O55" s="6" t="str">
        <f t="shared" si="4"/>
        <v>-13.31%</v>
      </c>
    </row>
    <row r="56" ht="15.75" customHeight="1">
      <c r="A56" s="2">
        <v>55.0</v>
      </c>
      <c r="B56" s="3" t="str">
        <f>Inputs!$B$2+Inputs!$B$6*A56</f>
        <v>238.50</v>
      </c>
      <c r="C56" s="3" t="str">
        <f>B56*Inputs!$B$5</f>
        <v>119.25</v>
      </c>
      <c r="D56" s="3" t="str">
        <f>Inputs!$B$8*(B56/Inputs!$B$2)</f>
        <v>3.58</v>
      </c>
      <c r="E56" s="3" t="str">
        <f>D56*Inputs!$B$9</f>
        <v>158.48</v>
      </c>
      <c r="F56" s="3" t="str">
        <f>Inputs!$B$10</f>
        <v>20.00</v>
      </c>
      <c r="G56" s="3" t="str">
        <f>Inputs!$B$11</f>
        <v>30.00</v>
      </c>
      <c r="H56" s="3" t="str">
        <f>Inputs!$B$12/30</f>
        <v>50.00</v>
      </c>
      <c r="I56" s="3" t="str">
        <f t="shared" si="1"/>
        <v>258.48</v>
      </c>
      <c r="J56" s="3" t="str">
        <f>Inputs!$B$6*Inputs!$B$7</f>
        <v>0.35</v>
      </c>
      <c r="K56" s="3" t="str">
        <f>C56*Inputs!$B$4</f>
        <v>81,090.00</v>
      </c>
      <c r="L56" s="3" t="str">
        <f t="shared" si="2"/>
        <v>13,525.83</v>
      </c>
      <c r="M56" s="3" t="str">
        <f>Inputs!$B$3+L56</f>
        <v>93,525.83</v>
      </c>
      <c r="N56" s="3" t="str">
        <f t="shared" si="3"/>
        <v>-12,435.83</v>
      </c>
      <c r="O56" s="6" t="str">
        <f t="shared" si="4"/>
        <v>-13.30%</v>
      </c>
    </row>
    <row r="57" ht="15.75" customHeight="1">
      <c r="A57" s="2">
        <v>56.0</v>
      </c>
      <c r="B57" s="3" t="str">
        <f>Inputs!$B$2+Inputs!$B$6*A57</f>
        <v>239.20</v>
      </c>
      <c r="C57" s="3" t="str">
        <f>B57*Inputs!$B$5</f>
        <v>119.60</v>
      </c>
      <c r="D57" s="3" t="str">
        <f>Inputs!$B$8*(B57/Inputs!$B$2)</f>
        <v>3.59</v>
      </c>
      <c r="E57" s="3" t="str">
        <f>D57*Inputs!$B$9</f>
        <v>158.95</v>
      </c>
      <c r="F57" s="3" t="str">
        <f>Inputs!$B$10</f>
        <v>20.00</v>
      </c>
      <c r="G57" s="3" t="str">
        <f>Inputs!$B$11</f>
        <v>30.00</v>
      </c>
      <c r="H57" s="3" t="str">
        <f>Inputs!$B$12/30</f>
        <v>50.00</v>
      </c>
      <c r="I57" s="3" t="str">
        <f t="shared" si="1"/>
        <v>258.95</v>
      </c>
      <c r="J57" s="3" t="str">
        <f>Inputs!$B$6*Inputs!$B$7</f>
        <v>0.35</v>
      </c>
      <c r="K57" s="3" t="str">
        <f>C57*Inputs!$B$4</f>
        <v>81,328.00</v>
      </c>
      <c r="L57" s="3" t="str">
        <f t="shared" si="2"/>
        <v>13,784.78</v>
      </c>
      <c r="M57" s="3" t="str">
        <f>Inputs!$B$3+L57</f>
        <v>93,784.78</v>
      </c>
      <c r="N57" s="3" t="str">
        <f t="shared" si="3"/>
        <v>-12,456.78</v>
      </c>
      <c r="O57" s="6" t="str">
        <f t="shared" si="4"/>
        <v>-13.28%</v>
      </c>
    </row>
    <row r="58" ht="15.75" customHeight="1">
      <c r="A58" s="2">
        <v>57.0</v>
      </c>
      <c r="B58" s="3" t="str">
        <f>Inputs!$B$2+Inputs!$B$6*A58</f>
        <v>239.90</v>
      </c>
      <c r="C58" s="3" t="str">
        <f>B58*Inputs!$B$5</f>
        <v>119.95</v>
      </c>
      <c r="D58" s="3" t="str">
        <f>Inputs!$B$8*(B58/Inputs!$B$2)</f>
        <v>3.60</v>
      </c>
      <c r="E58" s="3" t="str">
        <f>D58*Inputs!$B$9</f>
        <v>159.41</v>
      </c>
      <c r="F58" s="3" t="str">
        <f>Inputs!$B$10</f>
        <v>20.00</v>
      </c>
      <c r="G58" s="3" t="str">
        <f>Inputs!$B$11</f>
        <v>30.00</v>
      </c>
      <c r="H58" s="3" t="str">
        <f>Inputs!$B$12/30</f>
        <v>50.00</v>
      </c>
      <c r="I58" s="3" t="str">
        <f t="shared" si="1"/>
        <v>259.41</v>
      </c>
      <c r="J58" s="3" t="str">
        <f>Inputs!$B$6*Inputs!$B$7</f>
        <v>0.35</v>
      </c>
      <c r="K58" s="3" t="str">
        <f>C58*Inputs!$B$4</f>
        <v>81,566.00</v>
      </c>
      <c r="L58" s="3" t="str">
        <f t="shared" si="2"/>
        <v>14,044.19</v>
      </c>
      <c r="M58" s="3" t="str">
        <f>Inputs!$B$3+L58</f>
        <v>94,044.19</v>
      </c>
      <c r="N58" s="3" t="str">
        <f t="shared" si="3"/>
        <v>-12,478.19</v>
      </c>
      <c r="O58" s="6" t="str">
        <f t="shared" si="4"/>
        <v>-13.27%</v>
      </c>
    </row>
    <row r="59" ht="15.75" customHeight="1">
      <c r="A59" s="2">
        <v>58.0</v>
      </c>
      <c r="B59" s="3" t="str">
        <f>Inputs!$B$2+Inputs!$B$6*A59</f>
        <v>240.60</v>
      </c>
      <c r="C59" s="3" t="str">
        <f>B59*Inputs!$B$5</f>
        <v>120.30</v>
      </c>
      <c r="D59" s="3" t="str">
        <f>Inputs!$B$8*(B59/Inputs!$B$2)</f>
        <v>3.61</v>
      </c>
      <c r="E59" s="3" t="str">
        <f>D59*Inputs!$B$9</f>
        <v>159.88</v>
      </c>
      <c r="F59" s="3" t="str">
        <f>Inputs!$B$10</f>
        <v>20.00</v>
      </c>
      <c r="G59" s="3" t="str">
        <f>Inputs!$B$11</f>
        <v>30.00</v>
      </c>
      <c r="H59" s="3" t="str">
        <f>Inputs!$B$12/30</f>
        <v>50.00</v>
      </c>
      <c r="I59" s="3" t="str">
        <f t="shared" si="1"/>
        <v>259.88</v>
      </c>
      <c r="J59" s="3" t="str">
        <f>Inputs!$B$6*Inputs!$B$7</f>
        <v>0.35</v>
      </c>
      <c r="K59" s="3" t="str">
        <f>C59*Inputs!$B$4</f>
        <v>81,804.00</v>
      </c>
      <c r="L59" s="3" t="str">
        <f t="shared" si="2"/>
        <v>14,304.07</v>
      </c>
      <c r="M59" s="3" t="str">
        <f>Inputs!$B$3+L59</f>
        <v>94,304.07</v>
      </c>
      <c r="N59" s="3" t="str">
        <f t="shared" si="3"/>
        <v>-12,500.07</v>
      </c>
      <c r="O59" s="6" t="str">
        <f t="shared" si="4"/>
        <v>-13.26%</v>
      </c>
    </row>
    <row r="60" ht="15.75" customHeight="1">
      <c r="A60" s="2">
        <v>59.0</v>
      </c>
      <c r="B60" s="3" t="str">
        <f>Inputs!$B$2+Inputs!$B$6*A60</f>
        <v>241.30</v>
      </c>
      <c r="C60" s="3" t="str">
        <f>B60*Inputs!$B$5</f>
        <v>120.65</v>
      </c>
      <c r="D60" s="3" t="str">
        <f>Inputs!$B$8*(B60/Inputs!$B$2)</f>
        <v>3.62</v>
      </c>
      <c r="E60" s="3" t="str">
        <f>D60*Inputs!$B$9</f>
        <v>160.34</v>
      </c>
      <c r="F60" s="3" t="str">
        <f>Inputs!$B$10</f>
        <v>20.00</v>
      </c>
      <c r="G60" s="3" t="str">
        <f>Inputs!$B$11</f>
        <v>30.00</v>
      </c>
      <c r="H60" s="3" t="str">
        <f>Inputs!$B$12/30</f>
        <v>50.00</v>
      </c>
      <c r="I60" s="3" t="str">
        <f t="shared" si="1"/>
        <v>260.34</v>
      </c>
      <c r="J60" s="3" t="str">
        <f>Inputs!$B$6*Inputs!$B$7</f>
        <v>0.35</v>
      </c>
      <c r="K60" s="3" t="str">
        <f>C60*Inputs!$B$4</f>
        <v>82,042.00</v>
      </c>
      <c r="L60" s="3" t="str">
        <f t="shared" si="2"/>
        <v>14,564.42</v>
      </c>
      <c r="M60" s="3" t="str">
        <f>Inputs!$B$3+L60</f>
        <v>94,564.42</v>
      </c>
      <c r="N60" s="3" t="str">
        <f t="shared" si="3"/>
        <v>-12,522.42</v>
      </c>
      <c r="O60" s="6" t="str">
        <f t="shared" si="4"/>
        <v>-13.24%</v>
      </c>
    </row>
    <row r="61" ht="15.75" customHeight="1">
      <c r="A61" s="2">
        <v>60.0</v>
      </c>
      <c r="B61" s="3" t="str">
        <f>Inputs!$B$2+Inputs!$B$6*A61</f>
        <v>242.00</v>
      </c>
      <c r="C61" s="3" t="str">
        <f>B61*Inputs!$B$5</f>
        <v>121.00</v>
      </c>
      <c r="D61" s="3" t="str">
        <f>Inputs!$B$8*(B61/Inputs!$B$2)</f>
        <v>3.63</v>
      </c>
      <c r="E61" s="3" t="str">
        <f>D61*Inputs!$B$9</f>
        <v>160.81</v>
      </c>
      <c r="F61" s="3" t="str">
        <f>Inputs!$B$10</f>
        <v>20.00</v>
      </c>
      <c r="G61" s="3" t="str">
        <f>Inputs!$B$11</f>
        <v>30.00</v>
      </c>
      <c r="H61" s="3" t="str">
        <f>Inputs!$B$12/30</f>
        <v>50.00</v>
      </c>
      <c r="I61" s="3" t="str">
        <f t="shared" si="1"/>
        <v>260.81</v>
      </c>
      <c r="J61" s="3" t="str">
        <f>Inputs!$B$6*Inputs!$B$7</f>
        <v>0.35</v>
      </c>
      <c r="K61" s="3" t="str">
        <f>C61*Inputs!$B$4</f>
        <v>82,280.00</v>
      </c>
      <c r="L61" s="3" t="str">
        <f t="shared" si="2"/>
        <v>14,825.22</v>
      </c>
      <c r="M61" s="3" t="str">
        <f>Inputs!$B$3+L61</f>
        <v>94,825.22</v>
      </c>
      <c r="N61" s="3" t="str">
        <f t="shared" si="3"/>
        <v>-12,545.22</v>
      </c>
      <c r="O61" s="6" t="str">
        <f t="shared" si="4"/>
        <v>-13.23%</v>
      </c>
    </row>
    <row r="62" ht="15.75" customHeight="1">
      <c r="A62" s="2">
        <v>61.0</v>
      </c>
      <c r="B62" s="3" t="str">
        <f>Inputs!$B$2+Inputs!$B$6*A62</f>
        <v>242.70</v>
      </c>
      <c r="C62" s="3" t="str">
        <f>B62*Inputs!$B$5</f>
        <v>121.35</v>
      </c>
      <c r="D62" s="3" t="str">
        <f>Inputs!$B$8*(B62/Inputs!$B$2)</f>
        <v>3.64</v>
      </c>
      <c r="E62" s="3" t="str">
        <f>D62*Inputs!$B$9</f>
        <v>161.27</v>
      </c>
      <c r="F62" s="3" t="str">
        <f>Inputs!$B$10</f>
        <v>20.00</v>
      </c>
      <c r="G62" s="3" t="str">
        <f>Inputs!$B$11</f>
        <v>30.00</v>
      </c>
      <c r="H62" s="3" t="str">
        <f>Inputs!$B$12/30</f>
        <v>50.00</v>
      </c>
      <c r="I62" s="3" t="str">
        <f t="shared" si="1"/>
        <v>261.27</v>
      </c>
      <c r="J62" s="3" t="str">
        <f>Inputs!$B$6*Inputs!$B$7</f>
        <v>0.35</v>
      </c>
      <c r="K62" s="3" t="str">
        <f>C62*Inputs!$B$4</f>
        <v>82,518.00</v>
      </c>
      <c r="L62" s="3" t="str">
        <f t="shared" si="2"/>
        <v>15,086.50</v>
      </c>
      <c r="M62" s="3" t="str">
        <f>Inputs!$B$3+L62</f>
        <v>95,086.50</v>
      </c>
      <c r="N62" s="3" t="str">
        <f t="shared" si="3"/>
        <v>-12,568.50</v>
      </c>
      <c r="O62" s="6" t="str">
        <f t="shared" si="4"/>
        <v>-13.22%</v>
      </c>
    </row>
    <row r="63" ht="15.75" customHeight="1">
      <c r="A63" s="2">
        <v>62.0</v>
      </c>
      <c r="B63" s="3" t="str">
        <f>Inputs!$B$2+Inputs!$B$6*A63</f>
        <v>243.40</v>
      </c>
      <c r="C63" s="3" t="str">
        <f>B63*Inputs!$B$5</f>
        <v>121.70</v>
      </c>
      <c r="D63" s="3" t="str">
        <f>Inputs!$B$8*(B63/Inputs!$B$2)</f>
        <v>3.65</v>
      </c>
      <c r="E63" s="3" t="str">
        <f>D63*Inputs!$B$9</f>
        <v>161.74</v>
      </c>
      <c r="F63" s="3" t="str">
        <f>Inputs!$B$10</f>
        <v>20.00</v>
      </c>
      <c r="G63" s="3" t="str">
        <f>Inputs!$B$11</f>
        <v>30.00</v>
      </c>
      <c r="H63" s="3" t="str">
        <f>Inputs!$B$12/30</f>
        <v>50.00</v>
      </c>
      <c r="I63" s="3" t="str">
        <f t="shared" si="1"/>
        <v>261.74</v>
      </c>
      <c r="J63" s="3" t="str">
        <f>Inputs!$B$6*Inputs!$B$7</f>
        <v>0.35</v>
      </c>
      <c r="K63" s="3" t="str">
        <f>C63*Inputs!$B$4</f>
        <v>82,756.00</v>
      </c>
      <c r="L63" s="3" t="str">
        <f t="shared" si="2"/>
        <v>15,348.24</v>
      </c>
      <c r="M63" s="3" t="str">
        <f>Inputs!$B$3+L63</f>
        <v>95,348.24</v>
      </c>
      <c r="N63" s="3" t="str">
        <f t="shared" si="3"/>
        <v>-12,592.24</v>
      </c>
      <c r="O63" s="6" t="str">
        <f t="shared" si="4"/>
        <v>-13.21%</v>
      </c>
    </row>
    <row r="64" ht="15.75" customHeight="1">
      <c r="A64" s="2">
        <v>63.0</v>
      </c>
      <c r="B64" s="3" t="str">
        <f>Inputs!$B$2+Inputs!$B$6*A64</f>
        <v>244.10</v>
      </c>
      <c r="C64" s="3" t="str">
        <f>B64*Inputs!$B$5</f>
        <v>122.05</v>
      </c>
      <c r="D64" s="3" t="str">
        <f>Inputs!$B$8*(B64/Inputs!$B$2)</f>
        <v>3.66</v>
      </c>
      <c r="E64" s="3" t="str">
        <f>D64*Inputs!$B$9</f>
        <v>162.20</v>
      </c>
      <c r="F64" s="3" t="str">
        <f>Inputs!$B$10</f>
        <v>20.00</v>
      </c>
      <c r="G64" s="3" t="str">
        <f>Inputs!$B$11</f>
        <v>30.00</v>
      </c>
      <c r="H64" s="3" t="str">
        <f>Inputs!$B$12/30</f>
        <v>50.00</v>
      </c>
      <c r="I64" s="3" t="str">
        <f t="shared" si="1"/>
        <v>262.20</v>
      </c>
      <c r="J64" s="3" t="str">
        <f>Inputs!$B$6*Inputs!$B$7</f>
        <v>0.35</v>
      </c>
      <c r="K64" s="3" t="str">
        <f>C64*Inputs!$B$4</f>
        <v>82,994.00</v>
      </c>
      <c r="L64" s="3" t="str">
        <f t="shared" si="2"/>
        <v>15,610.44</v>
      </c>
      <c r="M64" s="3" t="str">
        <f>Inputs!$B$3+L64</f>
        <v>95,610.44</v>
      </c>
      <c r="N64" s="3" t="str">
        <f t="shared" si="3"/>
        <v>-12,616.44</v>
      </c>
      <c r="O64" s="6" t="str">
        <f t="shared" si="4"/>
        <v>-13.20%</v>
      </c>
    </row>
    <row r="65" ht="15.75" customHeight="1">
      <c r="A65" s="2">
        <v>64.0</v>
      </c>
      <c r="B65" s="3" t="str">
        <f>Inputs!$B$2+Inputs!$B$6*A65</f>
        <v>244.80</v>
      </c>
      <c r="C65" s="3" t="str">
        <f>B65*Inputs!$B$5</f>
        <v>122.40</v>
      </c>
      <c r="D65" s="3" t="str">
        <f>Inputs!$B$8*(B65/Inputs!$B$2)</f>
        <v>3.67</v>
      </c>
      <c r="E65" s="3" t="str">
        <f>D65*Inputs!$B$9</f>
        <v>162.67</v>
      </c>
      <c r="F65" s="3" t="str">
        <f>Inputs!$B$10</f>
        <v>20.00</v>
      </c>
      <c r="G65" s="3" t="str">
        <f>Inputs!$B$11</f>
        <v>30.00</v>
      </c>
      <c r="H65" s="3" t="str">
        <f>Inputs!$B$12/30</f>
        <v>50.00</v>
      </c>
      <c r="I65" s="3" t="str">
        <f t="shared" si="1"/>
        <v>262.67</v>
      </c>
      <c r="J65" s="3" t="str">
        <f>Inputs!$B$6*Inputs!$B$7</f>
        <v>0.35</v>
      </c>
      <c r="K65" s="3" t="str">
        <f>C65*Inputs!$B$4</f>
        <v>83,232.00</v>
      </c>
      <c r="L65" s="3" t="str">
        <f t="shared" si="2"/>
        <v>15,873.11</v>
      </c>
      <c r="M65" s="3" t="str">
        <f>Inputs!$B$3+L65</f>
        <v>95,873.11</v>
      </c>
      <c r="N65" s="3" t="str">
        <f t="shared" si="3"/>
        <v>-12,641.11</v>
      </c>
      <c r="O65" s="6" t="str">
        <f t="shared" si="4"/>
        <v>-13.19%</v>
      </c>
    </row>
    <row r="66" ht="15.75" customHeight="1">
      <c r="A66" s="2">
        <v>65.0</v>
      </c>
      <c r="B66" s="3" t="str">
        <f>Inputs!$B$2+Inputs!$B$6*A66</f>
        <v>245.50</v>
      </c>
      <c r="C66" s="3" t="str">
        <f>B66*Inputs!$B$5</f>
        <v>122.75</v>
      </c>
      <c r="D66" s="3" t="str">
        <f>Inputs!$B$8*(B66/Inputs!$B$2)</f>
        <v>3.68</v>
      </c>
      <c r="E66" s="3" t="str">
        <f>D66*Inputs!$B$9</f>
        <v>163.13</v>
      </c>
      <c r="F66" s="3" t="str">
        <f>Inputs!$B$10</f>
        <v>20.00</v>
      </c>
      <c r="G66" s="3" t="str">
        <f>Inputs!$B$11</f>
        <v>30.00</v>
      </c>
      <c r="H66" s="3" t="str">
        <f>Inputs!$B$12/30</f>
        <v>50.00</v>
      </c>
      <c r="I66" s="3" t="str">
        <f t="shared" si="1"/>
        <v>263.13</v>
      </c>
      <c r="J66" s="3" t="str">
        <f>Inputs!$B$6*Inputs!$B$7</f>
        <v>0.35</v>
      </c>
      <c r="K66" s="3" t="str">
        <f>C66*Inputs!$B$4</f>
        <v>83,470.00</v>
      </c>
      <c r="L66" s="3" t="str">
        <f t="shared" si="2"/>
        <v>16,136.25</v>
      </c>
      <c r="M66" s="3" t="str">
        <f>Inputs!$B$3+L66</f>
        <v>96,136.25</v>
      </c>
      <c r="N66" s="3" t="str">
        <f t="shared" si="3"/>
        <v>-12,666.25</v>
      </c>
      <c r="O66" s="6" t="str">
        <f t="shared" si="4"/>
        <v>-13.18%</v>
      </c>
    </row>
    <row r="67" ht="15.75" customHeight="1">
      <c r="A67" s="2">
        <v>66.0</v>
      </c>
      <c r="B67" s="3" t="str">
        <f>Inputs!$B$2+Inputs!$B$6*A67</f>
        <v>246.20</v>
      </c>
      <c r="C67" s="3" t="str">
        <f>B67*Inputs!$B$5</f>
        <v>123.10</v>
      </c>
      <c r="D67" s="3" t="str">
        <f>Inputs!$B$8*(B67/Inputs!$B$2)</f>
        <v>3.69</v>
      </c>
      <c r="E67" s="3" t="str">
        <f>D67*Inputs!$B$9</f>
        <v>163.60</v>
      </c>
      <c r="F67" s="3" t="str">
        <f>Inputs!$B$10</f>
        <v>20.00</v>
      </c>
      <c r="G67" s="3" t="str">
        <f>Inputs!$B$11</f>
        <v>30.00</v>
      </c>
      <c r="H67" s="3" t="str">
        <f>Inputs!$B$12/30</f>
        <v>50.00</v>
      </c>
      <c r="I67" s="3" t="str">
        <f t="shared" si="1"/>
        <v>263.60</v>
      </c>
      <c r="J67" s="3" t="str">
        <f>Inputs!$B$6*Inputs!$B$7</f>
        <v>0.35</v>
      </c>
      <c r="K67" s="3" t="str">
        <f>C67*Inputs!$B$4</f>
        <v>83,708.00</v>
      </c>
      <c r="L67" s="3" t="str">
        <f t="shared" si="2"/>
        <v>16,399.85</v>
      </c>
      <c r="M67" s="3" t="str">
        <f>Inputs!$B$3+L67</f>
        <v>96,399.85</v>
      </c>
      <c r="N67" s="3" t="str">
        <f t="shared" si="3"/>
        <v>-12,691.85</v>
      </c>
      <c r="O67" s="6" t="str">
        <f t="shared" si="4"/>
        <v>-13.17%</v>
      </c>
    </row>
    <row r="68" ht="15.75" customHeight="1">
      <c r="A68" s="2">
        <v>67.0</v>
      </c>
      <c r="B68" s="3" t="str">
        <f>Inputs!$B$2+Inputs!$B$6*A68</f>
        <v>246.90</v>
      </c>
      <c r="C68" s="3" t="str">
        <f>B68*Inputs!$B$5</f>
        <v>123.45</v>
      </c>
      <c r="D68" s="3" t="str">
        <f>Inputs!$B$8*(B68/Inputs!$B$2)</f>
        <v>3.70</v>
      </c>
      <c r="E68" s="3" t="str">
        <f>D68*Inputs!$B$9</f>
        <v>164.07</v>
      </c>
      <c r="F68" s="3" t="str">
        <f>Inputs!$B$10</f>
        <v>20.00</v>
      </c>
      <c r="G68" s="3" t="str">
        <f>Inputs!$B$11</f>
        <v>30.00</v>
      </c>
      <c r="H68" s="3" t="str">
        <f>Inputs!$B$12/30</f>
        <v>50.00</v>
      </c>
      <c r="I68" s="3" t="str">
        <f t="shared" si="1"/>
        <v>264.07</v>
      </c>
      <c r="J68" s="3" t="str">
        <f>Inputs!$B$6*Inputs!$B$7</f>
        <v>0.35</v>
      </c>
      <c r="K68" s="3" t="str">
        <f>C68*Inputs!$B$4</f>
        <v>83,946.00</v>
      </c>
      <c r="L68" s="3" t="str">
        <f t="shared" si="2"/>
        <v>16,663.91</v>
      </c>
      <c r="M68" s="3" t="str">
        <f>Inputs!$B$3+L68</f>
        <v>96,663.91</v>
      </c>
      <c r="N68" s="3" t="str">
        <f t="shared" si="3"/>
        <v>-12,717.91</v>
      </c>
      <c r="O68" s="6" t="str">
        <f t="shared" si="4"/>
        <v>-13.16%</v>
      </c>
    </row>
    <row r="69" ht="15.75" customHeight="1">
      <c r="A69" s="2">
        <v>68.0</v>
      </c>
      <c r="B69" s="3" t="str">
        <f>Inputs!$B$2+Inputs!$B$6*A69</f>
        <v>247.60</v>
      </c>
      <c r="C69" s="3" t="str">
        <f>B69*Inputs!$B$5</f>
        <v>123.80</v>
      </c>
      <c r="D69" s="3" t="str">
        <f>Inputs!$B$8*(B69/Inputs!$B$2)</f>
        <v>3.71</v>
      </c>
      <c r="E69" s="3" t="str">
        <f>D69*Inputs!$B$9</f>
        <v>164.53</v>
      </c>
      <c r="F69" s="3" t="str">
        <f>Inputs!$B$10</f>
        <v>20.00</v>
      </c>
      <c r="G69" s="3" t="str">
        <f>Inputs!$B$11</f>
        <v>30.00</v>
      </c>
      <c r="H69" s="3" t="str">
        <f>Inputs!$B$12/30</f>
        <v>50.00</v>
      </c>
      <c r="I69" s="3" t="str">
        <f t="shared" si="1"/>
        <v>264.53</v>
      </c>
      <c r="J69" s="3" t="str">
        <f>Inputs!$B$6*Inputs!$B$7</f>
        <v>0.35</v>
      </c>
      <c r="K69" s="3" t="str">
        <f>C69*Inputs!$B$4</f>
        <v>84,184.00</v>
      </c>
      <c r="L69" s="3" t="str">
        <f t="shared" si="2"/>
        <v>16,928.44</v>
      </c>
      <c r="M69" s="3" t="str">
        <f>Inputs!$B$3+L69</f>
        <v>96,928.44</v>
      </c>
      <c r="N69" s="3" t="str">
        <f t="shared" si="3"/>
        <v>-12,744.44</v>
      </c>
      <c r="O69" s="6" t="str">
        <f t="shared" si="4"/>
        <v>-13.15%</v>
      </c>
    </row>
    <row r="70" ht="15.75" customHeight="1">
      <c r="A70" s="2">
        <v>69.0</v>
      </c>
      <c r="B70" s="3" t="str">
        <f>Inputs!$B$2+Inputs!$B$6*A70</f>
        <v>248.30</v>
      </c>
      <c r="C70" s="3" t="str">
        <f>B70*Inputs!$B$5</f>
        <v>124.15</v>
      </c>
      <c r="D70" s="3" t="str">
        <f>Inputs!$B$8*(B70/Inputs!$B$2)</f>
        <v>3.72</v>
      </c>
      <c r="E70" s="3" t="str">
        <f>D70*Inputs!$B$9</f>
        <v>165.00</v>
      </c>
      <c r="F70" s="3" t="str">
        <f>Inputs!$B$10</f>
        <v>20.00</v>
      </c>
      <c r="G70" s="3" t="str">
        <f>Inputs!$B$11</f>
        <v>30.00</v>
      </c>
      <c r="H70" s="3" t="str">
        <f>Inputs!$B$12/30</f>
        <v>50.00</v>
      </c>
      <c r="I70" s="3" t="str">
        <f t="shared" si="1"/>
        <v>265.00</v>
      </c>
      <c r="J70" s="3" t="str">
        <f>Inputs!$B$6*Inputs!$B$7</f>
        <v>0.35</v>
      </c>
      <c r="K70" s="3" t="str">
        <f>C70*Inputs!$B$4</f>
        <v>84,422.00</v>
      </c>
      <c r="L70" s="3" t="str">
        <f t="shared" si="2"/>
        <v>17,193.44</v>
      </c>
      <c r="M70" s="3" t="str">
        <f>Inputs!$B$3+L70</f>
        <v>97,193.44</v>
      </c>
      <c r="N70" s="3" t="str">
        <f t="shared" si="3"/>
        <v>-12,771.44</v>
      </c>
      <c r="O70" s="6" t="str">
        <f t="shared" si="4"/>
        <v>-13.14%</v>
      </c>
    </row>
    <row r="71" ht="15.75" customHeight="1">
      <c r="A71" s="2">
        <v>70.0</v>
      </c>
      <c r="B71" s="3" t="str">
        <f>Inputs!$B$2+Inputs!$B$6*A71</f>
        <v>249.00</v>
      </c>
      <c r="C71" s="3" t="str">
        <f>B71*Inputs!$B$5</f>
        <v>124.50</v>
      </c>
      <c r="D71" s="3" t="str">
        <f>Inputs!$B$8*(B71/Inputs!$B$2)</f>
        <v>3.74</v>
      </c>
      <c r="E71" s="3" t="str">
        <f>D71*Inputs!$B$9</f>
        <v>165.46</v>
      </c>
      <c r="F71" s="3" t="str">
        <f>Inputs!$B$10</f>
        <v>20.00</v>
      </c>
      <c r="G71" s="3" t="str">
        <f>Inputs!$B$11</f>
        <v>30.00</v>
      </c>
      <c r="H71" s="3" t="str">
        <f>Inputs!$B$12/30</f>
        <v>50.00</v>
      </c>
      <c r="I71" s="3" t="str">
        <f t="shared" si="1"/>
        <v>265.46</v>
      </c>
      <c r="J71" s="3" t="str">
        <f>Inputs!$B$6*Inputs!$B$7</f>
        <v>0.35</v>
      </c>
      <c r="K71" s="3" t="str">
        <f>C71*Inputs!$B$4</f>
        <v>84,660.00</v>
      </c>
      <c r="L71" s="3" t="str">
        <f t="shared" si="2"/>
        <v>17,458.90</v>
      </c>
      <c r="M71" s="3" t="str">
        <f>Inputs!$B$3+L71</f>
        <v>97,458.90</v>
      </c>
      <c r="N71" s="3" t="str">
        <f t="shared" si="3"/>
        <v>-12,798.90</v>
      </c>
      <c r="O71" s="6" t="str">
        <f t="shared" si="4"/>
        <v>-13.13%</v>
      </c>
    </row>
    <row r="72" ht="15.75" customHeight="1">
      <c r="A72" s="2">
        <v>71.0</v>
      </c>
      <c r="B72" s="3" t="str">
        <f>Inputs!$B$2+Inputs!$B$6*A72</f>
        <v>249.70</v>
      </c>
      <c r="C72" s="3" t="str">
        <f>B72*Inputs!$B$5</f>
        <v>124.85</v>
      </c>
      <c r="D72" s="3" t="str">
        <f>Inputs!$B$8*(B72/Inputs!$B$2)</f>
        <v>3.75</v>
      </c>
      <c r="E72" s="3" t="str">
        <f>D72*Inputs!$B$9</f>
        <v>165.93</v>
      </c>
      <c r="F72" s="3" t="str">
        <f>Inputs!$B$10</f>
        <v>20.00</v>
      </c>
      <c r="G72" s="3" t="str">
        <f>Inputs!$B$11</f>
        <v>30.00</v>
      </c>
      <c r="H72" s="3" t="str">
        <f>Inputs!$B$12/30</f>
        <v>50.00</v>
      </c>
      <c r="I72" s="3" t="str">
        <f t="shared" si="1"/>
        <v>265.93</v>
      </c>
      <c r="J72" s="3" t="str">
        <f>Inputs!$B$6*Inputs!$B$7</f>
        <v>0.35</v>
      </c>
      <c r="K72" s="3" t="str">
        <f>C72*Inputs!$B$4</f>
        <v>84,898.00</v>
      </c>
      <c r="L72" s="3" t="str">
        <f t="shared" si="2"/>
        <v>17,724.82</v>
      </c>
      <c r="M72" s="3" t="str">
        <f>Inputs!$B$3+L72</f>
        <v>97,724.82</v>
      </c>
      <c r="N72" s="3" t="str">
        <f t="shared" si="3"/>
        <v>-12,826.82</v>
      </c>
      <c r="O72" s="6" t="str">
        <f t="shared" si="4"/>
        <v>-13.13%</v>
      </c>
    </row>
    <row r="73" ht="15.75" customHeight="1">
      <c r="A73" s="2">
        <v>72.0</v>
      </c>
      <c r="B73" s="3" t="str">
        <f>Inputs!$B$2+Inputs!$B$6*A73</f>
        <v>250.40</v>
      </c>
      <c r="C73" s="3" t="str">
        <f>B73*Inputs!$B$5</f>
        <v>125.20</v>
      </c>
      <c r="D73" s="3" t="str">
        <f>Inputs!$B$8*(B73/Inputs!$B$2)</f>
        <v>3.76</v>
      </c>
      <c r="E73" s="3" t="str">
        <f>D73*Inputs!$B$9</f>
        <v>166.39</v>
      </c>
      <c r="F73" s="3" t="str">
        <f>Inputs!$B$10</f>
        <v>20.00</v>
      </c>
      <c r="G73" s="3" t="str">
        <f>Inputs!$B$11</f>
        <v>30.00</v>
      </c>
      <c r="H73" s="3" t="str">
        <f>Inputs!$B$12/30</f>
        <v>50.00</v>
      </c>
      <c r="I73" s="3" t="str">
        <f t="shared" si="1"/>
        <v>266.39</v>
      </c>
      <c r="J73" s="3" t="str">
        <f>Inputs!$B$6*Inputs!$B$7</f>
        <v>0.35</v>
      </c>
      <c r="K73" s="3" t="str">
        <f>C73*Inputs!$B$4</f>
        <v>85,136.00</v>
      </c>
      <c r="L73" s="3" t="str">
        <f t="shared" si="2"/>
        <v>17,991.21</v>
      </c>
      <c r="M73" s="3" t="str">
        <f>Inputs!$B$3+L73</f>
        <v>97,991.21</v>
      </c>
      <c r="N73" s="3" t="str">
        <f t="shared" si="3"/>
        <v>-12,855.21</v>
      </c>
      <c r="O73" s="6" t="str">
        <f t="shared" si="4"/>
        <v>-13.12%</v>
      </c>
    </row>
    <row r="74" ht="15.75" customHeight="1">
      <c r="A74" s="2">
        <v>73.0</v>
      </c>
      <c r="B74" s="3" t="str">
        <f>Inputs!$B$2+Inputs!$B$6*A74</f>
        <v>251.10</v>
      </c>
      <c r="C74" s="3" t="str">
        <f>B74*Inputs!$B$5</f>
        <v>125.55</v>
      </c>
      <c r="D74" s="3" t="str">
        <f>Inputs!$B$8*(B74/Inputs!$B$2)</f>
        <v>3.77</v>
      </c>
      <c r="E74" s="3" t="str">
        <f>D74*Inputs!$B$9</f>
        <v>166.86</v>
      </c>
      <c r="F74" s="3" t="str">
        <f>Inputs!$B$10</f>
        <v>20.00</v>
      </c>
      <c r="G74" s="3" t="str">
        <f>Inputs!$B$11</f>
        <v>30.00</v>
      </c>
      <c r="H74" s="3" t="str">
        <f>Inputs!$B$12/30</f>
        <v>50.00</v>
      </c>
      <c r="I74" s="3" t="str">
        <f t="shared" si="1"/>
        <v>266.86</v>
      </c>
      <c r="J74" s="3" t="str">
        <f>Inputs!$B$6*Inputs!$B$7</f>
        <v>0.35</v>
      </c>
      <c r="K74" s="3" t="str">
        <f>C74*Inputs!$B$4</f>
        <v>85,374.00</v>
      </c>
      <c r="L74" s="3" t="str">
        <f t="shared" si="2"/>
        <v>18,258.07</v>
      </c>
      <c r="M74" s="3" t="str">
        <f>Inputs!$B$3+L74</f>
        <v>98,258.07</v>
      </c>
      <c r="N74" s="3" t="str">
        <f t="shared" si="3"/>
        <v>-12,884.07</v>
      </c>
      <c r="O74" s="6" t="str">
        <f t="shared" si="4"/>
        <v>-13.11%</v>
      </c>
    </row>
    <row r="75" ht="15.75" customHeight="1">
      <c r="A75" s="2">
        <v>74.0</v>
      </c>
      <c r="B75" s="3" t="str">
        <f>Inputs!$B$2+Inputs!$B$6*A75</f>
        <v>251.80</v>
      </c>
      <c r="C75" s="3" t="str">
        <f>B75*Inputs!$B$5</f>
        <v>125.90</v>
      </c>
      <c r="D75" s="3" t="str">
        <f>Inputs!$B$8*(B75/Inputs!$B$2)</f>
        <v>3.78</v>
      </c>
      <c r="E75" s="3" t="str">
        <f>D75*Inputs!$B$9</f>
        <v>167.32</v>
      </c>
      <c r="F75" s="3" t="str">
        <f>Inputs!$B$10</f>
        <v>20.00</v>
      </c>
      <c r="G75" s="3" t="str">
        <f>Inputs!$B$11</f>
        <v>30.00</v>
      </c>
      <c r="H75" s="3" t="str">
        <f>Inputs!$B$12/30</f>
        <v>50.00</v>
      </c>
      <c r="I75" s="3" t="str">
        <f t="shared" si="1"/>
        <v>267.32</v>
      </c>
      <c r="J75" s="3" t="str">
        <f>Inputs!$B$6*Inputs!$B$7</f>
        <v>0.35</v>
      </c>
      <c r="K75" s="3" t="str">
        <f>C75*Inputs!$B$4</f>
        <v>85,612.00</v>
      </c>
      <c r="L75" s="3" t="str">
        <f t="shared" si="2"/>
        <v>18,525.39</v>
      </c>
      <c r="M75" s="3" t="str">
        <f>Inputs!$B$3+L75</f>
        <v>98,525.39</v>
      </c>
      <c r="N75" s="3" t="str">
        <f t="shared" si="3"/>
        <v>-12,913.39</v>
      </c>
      <c r="O75" s="6" t="str">
        <f t="shared" si="4"/>
        <v>-13.11%</v>
      </c>
    </row>
    <row r="76" ht="15.75" customHeight="1">
      <c r="A76" s="2">
        <v>75.0</v>
      </c>
      <c r="B76" s="3" t="str">
        <f>Inputs!$B$2+Inputs!$B$6*A76</f>
        <v>252.50</v>
      </c>
      <c r="C76" s="3" t="str">
        <f>B76*Inputs!$B$5</f>
        <v>126.25</v>
      </c>
      <c r="D76" s="3" t="str">
        <f>Inputs!$B$8*(B76/Inputs!$B$2)</f>
        <v>3.79</v>
      </c>
      <c r="E76" s="3" t="str">
        <f>D76*Inputs!$B$9</f>
        <v>167.79</v>
      </c>
      <c r="F76" s="3" t="str">
        <f>Inputs!$B$10</f>
        <v>20.00</v>
      </c>
      <c r="G76" s="3" t="str">
        <f>Inputs!$B$11</f>
        <v>30.00</v>
      </c>
      <c r="H76" s="3" t="str">
        <f>Inputs!$B$12/30</f>
        <v>50.00</v>
      </c>
      <c r="I76" s="3" t="str">
        <f t="shared" si="1"/>
        <v>267.79</v>
      </c>
      <c r="J76" s="3" t="str">
        <f>Inputs!$B$6*Inputs!$B$7</f>
        <v>0.35</v>
      </c>
      <c r="K76" s="3" t="str">
        <f>C76*Inputs!$B$4</f>
        <v>85,850.00</v>
      </c>
      <c r="L76" s="3" t="str">
        <f t="shared" si="2"/>
        <v>18,793.18</v>
      </c>
      <c r="M76" s="3" t="str">
        <f>Inputs!$B$3+L76</f>
        <v>98,793.18</v>
      </c>
      <c r="N76" s="3" t="str">
        <f t="shared" si="3"/>
        <v>-12,943.18</v>
      </c>
      <c r="O76" s="6" t="str">
        <f t="shared" si="4"/>
        <v>-13.10%</v>
      </c>
    </row>
    <row r="77" ht="15.75" customHeight="1">
      <c r="A77" s="2">
        <v>76.0</v>
      </c>
      <c r="B77" s="3" t="str">
        <f>Inputs!$B$2+Inputs!$B$6*A77</f>
        <v>253.20</v>
      </c>
      <c r="C77" s="3" t="str">
        <f>B77*Inputs!$B$5</f>
        <v>126.60</v>
      </c>
      <c r="D77" s="3" t="str">
        <f>Inputs!$B$8*(B77/Inputs!$B$2)</f>
        <v>3.80</v>
      </c>
      <c r="E77" s="3" t="str">
        <f>D77*Inputs!$B$9</f>
        <v>168.25</v>
      </c>
      <c r="F77" s="3" t="str">
        <f>Inputs!$B$10</f>
        <v>20.00</v>
      </c>
      <c r="G77" s="3" t="str">
        <f>Inputs!$B$11</f>
        <v>30.00</v>
      </c>
      <c r="H77" s="3" t="str">
        <f>Inputs!$B$12/30</f>
        <v>50.00</v>
      </c>
      <c r="I77" s="3" t="str">
        <f t="shared" si="1"/>
        <v>268.25</v>
      </c>
      <c r="J77" s="3" t="str">
        <f>Inputs!$B$6*Inputs!$B$7</f>
        <v>0.35</v>
      </c>
      <c r="K77" s="3" t="str">
        <f>C77*Inputs!$B$4</f>
        <v>86,088.00</v>
      </c>
      <c r="L77" s="3" t="str">
        <f t="shared" si="2"/>
        <v>19,061.43</v>
      </c>
      <c r="M77" s="3" t="str">
        <f>Inputs!$B$3+L77</f>
        <v>99,061.43</v>
      </c>
      <c r="N77" s="3" t="str">
        <f t="shared" si="3"/>
        <v>-12,973.43</v>
      </c>
      <c r="O77" s="6" t="str">
        <f t="shared" si="4"/>
        <v>-13.10%</v>
      </c>
    </row>
    <row r="78" ht="15.75" customHeight="1">
      <c r="A78" s="2">
        <v>77.0</v>
      </c>
      <c r="B78" s="3" t="str">
        <f>Inputs!$B$2+Inputs!$B$6*A78</f>
        <v>253.90</v>
      </c>
      <c r="C78" s="3" t="str">
        <f>B78*Inputs!$B$5</f>
        <v>126.95</v>
      </c>
      <c r="D78" s="3" t="str">
        <f>Inputs!$B$8*(B78/Inputs!$B$2)</f>
        <v>3.81</v>
      </c>
      <c r="E78" s="3" t="str">
        <f>D78*Inputs!$B$9</f>
        <v>168.72</v>
      </c>
      <c r="F78" s="3" t="str">
        <f>Inputs!$B$10</f>
        <v>20.00</v>
      </c>
      <c r="G78" s="3" t="str">
        <f>Inputs!$B$11</f>
        <v>30.00</v>
      </c>
      <c r="H78" s="3" t="str">
        <f>Inputs!$B$12/30</f>
        <v>50.00</v>
      </c>
      <c r="I78" s="3" t="str">
        <f t="shared" si="1"/>
        <v>268.72</v>
      </c>
      <c r="J78" s="3" t="str">
        <f>Inputs!$B$6*Inputs!$B$7</f>
        <v>0.35</v>
      </c>
      <c r="K78" s="3" t="str">
        <f>C78*Inputs!$B$4</f>
        <v>86,326.00</v>
      </c>
      <c r="L78" s="3" t="str">
        <f t="shared" si="2"/>
        <v>19,330.15</v>
      </c>
      <c r="M78" s="3" t="str">
        <f>Inputs!$B$3+L78</f>
        <v>99,330.15</v>
      </c>
      <c r="N78" s="3" t="str">
        <f t="shared" si="3"/>
        <v>-13,004.15</v>
      </c>
      <c r="O78" s="6" t="str">
        <f t="shared" si="4"/>
        <v>-13.09%</v>
      </c>
    </row>
    <row r="79" ht="15.75" customHeight="1">
      <c r="A79" s="2">
        <v>78.0</v>
      </c>
      <c r="B79" s="3" t="str">
        <f>Inputs!$B$2+Inputs!$B$6*A79</f>
        <v>254.60</v>
      </c>
      <c r="C79" s="3" t="str">
        <f>B79*Inputs!$B$5</f>
        <v>127.30</v>
      </c>
      <c r="D79" s="3" t="str">
        <f>Inputs!$B$8*(B79/Inputs!$B$2)</f>
        <v>3.82</v>
      </c>
      <c r="E79" s="3" t="str">
        <f>D79*Inputs!$B$9</f>
        <v>169.18</v>
      </c>
      <c r="F79" s="3" t="str">
        <f>Inputs!$B$10</f>
        <v>20.00</v>
      </c>
      <c r="G79" s="3" t="str">
        <f>Inputs!$B$11</f>
        <v>30.00</v>
      </c>
      <c r="H79" s="3" t="str">
        <f>Inputs!$B$12/30</f>
        <v>50.00</v>
      </c>
      <c r="I79" s="3" t="str">
        <f t="shared" si="1"/>
        <v>269.18</v>
      </c>
      <c r="J79" s="3" t="str">
        <f>Inputs!$B$6*Inputs!$B$7</f>
        <v>0.35</v>
      </c>
      <c r="K79" s="3" t="str">
        <f>C79*Inputs!$B$4</f>
        <v>86,564.00</v>
      </c>
      <c r="L79" s="3" t="str">
        <f t="shared" si="2"/>
        <v>19,599.33</v>
      </c>
      <c r="M79" s="3" t="str">
        <f>Inputs!$B$3+L79</f>
        <v>99,599.33</v>
      </c>
      <c r="N79" s="3" t="str">
        <f t="shared" si="3"/>
        <v>-13,035.33</v>
      </c>
      <c r="O79" s="6" t="str">
        <f t="shared" si="4"/>
        <v>-13.09%</v>
      </c>
    </row>
    <row r="80" ht="15.75" customHeight="1">
      <c r="A80" s="2">
        <v>79.0</v>
      </c>
      <c r="B80" s="3" t="str">
        <f>Inputs!$B$2+Inputs!$B$6*A80</f>
        <v>255.30</v>
      </c>
      <c r="C80" s="3" t="str">
        <f>B80*Inputs!$B$5</f>
        <v>127.65</v>
      </c>
      <c r="D80" s="3" t="str">
        <f>Inputs!$B$8*(B80/Inputs!$B$2)</f>
        <v>3.83</v>
      </c>
      <c r="E80" s="3" t="str">
        <f>D80*Inputs!$B$9</f>
        <v>169.65</v>
      </c>
      <c r="F80" s="3" t="str">
        <f>Inputs!$B$10</f>
        <v>20.00</v>
      </c>
      <c r="G80" s="3" t="str">
        <f>Inputs!$B$11</f>
        <v>30.00</v>
      </c>
      <c r="H80" s="3" t="str">
        <f>Inputs!$B$12/30</f>
        <v>50.00</v>
      </c>
      <c r="I80" s="3" t="str">
        <f t="shared" si="1"/>
        <v>269.65</v>
      </c>
      <c r="J80" s="3" t="str">
        <f>Inputs!$B$6*Inputs!$B$7</f>
        <v>0.35</v>
      </c>
      <c r="K80" s="3" t="str">
        <f>C80*Inputs!$B$4</f>
        <v>86,802.00</v>
      </c>
      <c r="L80" s="3" t="str">
        <f t="shared" si="2"/>
        <v>19,868.97</v>
      </c>
      <c r="M80" s="3" t="str">
        <f>Inputs!$B$3+L80</f>
        <v>99,868.97</v>
      </c>
      <c r="N80" s="3" t="str">
        <f t="shared" si="3"/>
        <v>-13,066.97</v>
      </c>
      <c r="O80" s="6" t="str">
        <f t="shared" si="4"/>
        <v>-13.08%</v>
      </c>
    </row>
    <row r="81" ht="15.75" customHeight="1">
      <c r="A81" s="2">
        <v>80.0</v>
      </c>
      <c r="B81" s="3" t="str">
        <f>Inputs!$B$2+Inputs!$B$6*A81</f>
        <v>256.00</v>
      </c>
      <c r="C81" s="3" t="str">
        <f>B81*Inputs!$B$5</f>
        <v>128.00</v>
      </c>
      <c r="D81" s="3" t="str">
        <f>Inputs!$B$8*(B81/Inputs!$B$2)</f>
        <v>3.84</v>
      </c>
      <c r="E81" s="3" t="str">
        <f>D81*Inputs!$B$9</f>
        <v>170.11</v>
      </c>
      <c r="F81" s="3" t="str">
        <f>Inputs!$B$10</f>
        <v>20.00</v>
      </c>
      <c r="G81" s="3" t="str">
        <f>Inputs!$B$11</f>
        <v>30.00</v>
      </c>
      <c r="H81" s="3" t="str">
        <f>Inputs!$B$12/30</f>
        <v>50.00</v>
      </c>
      <c r="I81" s="3" t="str">
        <f t="shared" si="1"/>
        <v>270.11</v>
      </c>
      <c r="J81" s="3" t="str">
        <f>Inputs!$B$6*Inputs!$B$7</f>
        <v>0.35</v>
      </c>
      <c r="K81" s="3" t="str">
        <f>C81*Inputs!$B$4</f>
        <v>87,040.00</v>
      </c>
      <c r="L81" s="3" t="str">
        <f t="shared" si="2"/>
        <v>20,139.09</v>
      </c>
      <c r="M81" s="3" t="str">
        <f>Inputs!$B$3+L81</f>
        <v>100,139.09</v>
      </c>
      <c r="N81" s="3" t="str">
        <f t="shared" si="3"/>
        <v>-13,099.09</v>
      </c>
      <c r="O81" s="6" t="str">
        <f t="shared" si="4"/>
        <v>-13.08%</v>
      </c>
    </row>
    <row r="82" ht="15.75" customHeight="1">
      <c r="A82" s="2">
        <v>81.0</v>
      </c>
      <c r="B82" s="3" t="str">
        <f>Inputs!$B$2+Inputs!$B$6*A82</f>
        <v>256.70</v>
      </c>
      <c r="C82" s="3" t="str">
        <f>B82*Inputs!$B$5</f>
        <v>128.35</v>
      </c>
      <c r="D82" s="3" t="str">
        <f>Inputs!$B$8*(B82/Inputs!$B$2)</f>
        <v>3.85</v>
      </c>
      <c r="E82" s="3" t="str">
        <f>D82*Inputs!$B$9</f>
        <v>170.58</v>
      </c>
      <c r="F82" s="3" t="str">
        <f>Inputs!$B$10</f>
        <v>20.00</v>
      </c>
      <c r="G82" s="3" t="str">
        <f>Inputs!$B$11</f>
        <v>30.00</v>
      </c>
      <c r="H82" s="3" t="str">
        <f>Inputs!$B$12/30</f>
        <v>50.00</v>
      </c>
      <c r="I82" s="3" t="str">
        <f t="shared" si="1"/>
        <v>270.58</v>
      </c>
      <c r="J82" s="3" t="str">
        <f>Inputs!$B$6*Inputs!$B$7</f>
        <v>0.35</v>
      </c>
      <c r="K82" s="3" t="str">
        <f>C82*Inputs!$B$4</f>
        <v>87,278.00</v>
      </c>
      <c r="L82" s="3" t="str">
        <f t="shared" si="2"/>
        <v>20,409.66</v>
      </c>
      <c r="M82" s="3" t="str">
        <f>Inputs!$B$3+L82</f>
        <v>100,409.66</v>
      </c>
      <c r="N82" s="3" t="str">
        <f t="shared" si="3"/>
        <v>-13,131.66</v>
      </c>
      <c r="O82" s="6" t="str">
        <f t="shared" si="4"/>
        <v>-13.08%</v>
      </c>
    </row>
    <row r="83" ht="15.75" customHeight="1">
      <c r="A83" s="2">
        <v>82.0</v>
      </c>
      <c r="B83" s="3" t="str">
        <f>Inputs!$B$2+Inputs!$B$6*A83</f>
        <v>257.40</v>
      </c>
      <c r="C83" s="3" t="str">
        <f>B83*Inputs!$B$5</f>
        <v>128.70</v>
      </c>
      <c r="D83" s="3" t="str">
        <f>Inputs!$B$8*(B83/Inputs!$B$2)</f>
        <v>3.86</v>
      </c>
      <c r="E83" s="3" t="str">
        <f>D83*Inputs!$B$9</f>
        <v>171.04</v>
      </c>
      <c r="F83" s="3" t="str">
        <f>Inputs!$B$10</f>
        <v>20.00</v>
      </c>
      <c r="G83" s="3" t="str">
        <f>Inputs!$B$11</f>
        <v>30.00</v>
      </c>
      <c r="H83" s="3" t="str">
        <f>Inputs!$B$12/30</f>
        <v>50.00</v>
      </c>
      <c r="I83" s="3" t="str">
        <f t="shared" si="1"/>
        <v>271.04</v>
      </c>
      <c r="J83" s="3" t="str">
        <f>Inputs!$B$6*Inputs!$B$7</f>
        <v>0.35</v>
      </c>
      <c r="K83" s="3" t="str">
        <f>C83*Inputs!$B$4</f>
        <v>87,516.00</v>
      </c>
      <c r="L83" s="3" t="str">
        <f t="shared" si="2"/>
        <v>20,680.71</v>
      </c>
      <c r="M83" s="3" t="str">
        <f>Inputs!$B$3+L83</f>
        <v>100,680.71</v>
      </c>
      <c r="N83" s="3" t="str">
        <f t="shared" si="3"/>
        <v>-13,164.71</v>
      </c>
      <c r="O83" s="6" t="str">
        <f t="shared" si="4"/>
        <v>-13.08%</v>
      </c>
    </row>
    <row r="84" ht="15.75" customHeight="1">
      <c r="A84" s="2">
        <v>83.0</v>
      </c>
      <c r="B84" s="3" t="str">
        <f>Inputs!$B$2+Inputs!$B$6*A84</f>
        <v>258.10</v>
      </c>
      <c r="C84" s="3" t="str">
        <f>B84*Inputs!$B$5</f>
        <v>129.05</v>
      </c>
      <c r="D84" s="3" t="str">
        <f>Inputs!$B$8*(B84/Inputs!$B$2)</f>
        <v>3.87</v>
      </c>
      <c r="E84" s="3" t="str">
        <f>D84*Inputs!$B$9</f>
        <v>171.51</v>
      </c>
      <c r="F84" s="3" t="str">
        <f>Inputs!$B$10</f>
        <v>20.00</v>
      </c>
      <c r="G84" s="3" t="str">
        <f>Inputs!$B$11</f>
        <v>30.00</v>
      </c>
      <c r="H84" s="3" t="str">
        <f>Inputs!$B$12/30</f>
        <v>50.00</v>
      </c>
      <c r="I84" s="3" t="str">
        <f t="shared" si="1"/>
        <v>271.51</v>
      </c>
      <c r="J84" s="3" t="str">
        <f>Inputs!$B$6*Inputs!$B$7</f>
        <v>0.35</v>
      </c>
      <c r="K84" s="3" t="str">
        <f>C84*Inputs!$B$4</f>
        <v>87,754.00</v>
      </c>
      <c r="L84" s="3" t="str">
        <f t="shared" si="2"/>
        <v>20,952.21</v>
      </c>
      <c r="M84" s="3" t="str">
        <f>Inputs!$B$3+L84</f>
        <v>100,952.21</v>
      </c>
      <c r="N84" s="3" t="str">
        <f t="shared" si="3"/>
        <v>-13,198.21</v>
      </c>
      <c r="O84" s="6" t="str">
        <f t="shared" si="4"/>
        <v>-13.07%</v>
      </c>
    </row>
    <row r="85" ht="15.75" customHeight="1">
      <c r="A85" s="2">
        <v>84.0</v>
      </c>
      <c r="B85" s="3" t="str">
        <f>Inputs!$B$2+Inputs!$B$6*A85</f>
        <v>258.80</v>
      </c>
      <c r="C85" s="3" t="str">
        <f>B85*Inputs!$B$5</f>
        <v>129.40</v>
      </c>
      <c r="D85" s="3" t="str">
        <f>Inputs!$B$8*(B85/Inputs!$B$2)</f>
        <v>3.88</v>
      </c>
      <c r="E85" s="3" t="str">
        <f>D85*Inputs!$B$9</f>
        <v>171.97</v>
      </c>
      <c r="F85" s="3" t="str">
        <f>Inputs!$B$10</f>
        <v>20.00</v>
      </c>
      <c r="G85" s="3" t="str">
        <f>Inputs!$B$11</f>
        <v>30.00</v>
      </c>
      <c r="H85" s="3" t="str">
        <f>Inputs!$B$12/30</f>
        <v>50.00</v>
      </c>
      <c r="I85" s="3" t="str">
        <f t="shared" si="1"/>
        <v>271.97</v>
      </c>
      <c r="J85" s="3" t="str">
        <f>Inputs!$B$6*Inputs!$B$7</f>
        <v>0.35</v>
      </c>
      <c r="K85" s="3" t="str">
        <f>C85*Inputs!$B$4</f>
        <v>87,992.00</v>
      </c>
      <c r="L85" s="3" t="str">
        <f t="shared" si="2"/>
        <v>21,224.19</v>
      </c>
      <c r="M85" s="3" t="str">
        <f>Inputs!$B$3+L85</f>
        <v>101,224.19</v>
      </c>
      <c r="N85" s="3" t="str">
        <f t="shared" si="3"/>
        <v>-13,232.19</v>
      </c>
      <c r="O85" s="6" t="str">
        <f t="shared" si="4"/>
        <v>-13.07%</v>
      </c>
    </row>
    <row r="86" ht="15.75" customHeight="1">
      <c r="A86" s="2">
        <v>85.0</v>
      </c>
      <c r="B86" s="3" t="str">
        <f>Inputs!$B$2+Inputs!$B$6*A86</f>
        <v>259.50</v>
      </c>
      <c r="C86" s="3" t="str">
        <f>B86*Inputs!$B$5</f>
        <v>129.75</v>
      </c>
      <c r="D86" s="3" t="str">
        <f>Inputs!$B$8*(B86/Inputs!$B$2)</f>
        <v>3.89</v>
      </c>
      <c r="E86" s="3" t="str">
        <f>D86*Inputs!$B$9</f>
        <v>172.44</v>
      </c>
      <c r="F86" s="3" t="str">
        <f>Inputs!$B$10</f>
        <v>20.00</v>
      </c>
      <c r="G86" s="3" t="str">
        <f>Inputs!$B$11</f>
        <v>30.00</v>
      </c>
      <c r="H86" s="3" t="str">
        <f>Inputs!$B$12/30</f>
        <v>50.00</v>
      </c>
      <c r="I86" s="3" t="str">
        <f t="shared" si="1"/>
        <v>272.44</v>
      </c>
      <c r="J86" s="3" t="str">
        <f>Inputs!$B$6*Inputs!$B$7</f>
        <v>0.35</v>
      </c>
      <c r="K86" s="3" t="str">
        <f>C86*Inputs!$B$4</f>
        <v>88,230.00</v>
      </c>
      <c r="L86" s="3" t="str">
        <f t="shared" si="2"/>
        <v>21,496.62</v>
      </c>
      <c r="M86" s="3" t="str">
        <f>Inputs!$B$3+L86</f>
        <v>101,496.62</v>
      </c>
      <c r="N86" s="3" t="str">
        <f t="shared" si="3"/>
        <v>-13,266.62</v>
      </c>
      <c r="O86" s="6" t="str">
        <f t="shared" si="4"/>
        <v>-13.07%</v>
      </c>
    </row>
    <row r="87" ht="15.75" customHeight="1">
      <c r="A87" s="2">
        <v>86.0</v>
      </c>
      <c r="B87" s="3" t="str">
        <f>Inputs!$B$2+Inputs!$B$6*A87</f>
        <v>260.20</v>
      </c>
      <c r="C87" s="3" t="str">
        <f>B87*Inputs!$B$5</f>
        <v>130.10</v>
      </c>
      <c r="D87" s="3" t="str">
        <f>Inputs!$B$8*(B87/Inputs!$B$2)</f>
        <v>3.90</v>
      </c>
      <c r="E87" s="3" t="str">
        <f>D87*Inputs!$B$9</f>
        <v>172.90</v>
      </c>
      <c r="F87" s="3" t="str">
        <f>Inputs!$B$10</f>
        <v>20.00</v>
      </c>
      <c r="G87" s="3" t="str">
        <f>Inputs!$B$11</f>
        <v>30.00</v>
      </c>
      <c r="H87" s="3" t="str">
        <f>Inputs!$B$12/30</f>
        <v>50.00</v>
      </c>
      <c r="I87" s="3" t="str">
        <f t="shared" si="1"/>
        <v>272.90</v>
      </c>
      <c r="J87" s="3" t="str">
        <f>Inputs!$B$6*Inputs!$B$7</f>
        <v>0.35</v>
      </c>
      <c r="K87" s="3" t="str">
        <f>C87*Inputs!$B$4</f>
        <v>88,468.00</v>
      </c>
      <c r="L87" s="3" t="str">
        <f t="shared" si="2"/>
        <v>21,769.53</v>
      </c>
      <c r="M87" s="3" t="str">
        <f>Inputs!$B$3+L87</f>
        <v>101,769.53</v>
      </c>
      <c r="N87" s="3" t="str">
        <f t="shared" si="3"/>
        <v>-13,301.53</v>
      </c>
      <c r="O87" s="6" t="str">
        <f t="shared" si="4"/>
        <v>-13.07%</v>
      </c>
    </row>
    <row r="88" ht="15.75" customHeight="1">
      <c r="A88" s="2">
        <v>87.0</v>
      </c>
      <c r="B88" s="3" t="str">
        <f>Inputs!$B$2+Inputs!$B$6*A88</f>
        <v>260.90</v>
      </c>
      <c r="C88" s="3" t="str">
        <f>B88*Inputs!$B$5</f>
        <v>130.45</v>
      </c>
      <c r="D88" s="3" t="str">
        <f>Inputs!$B$8*(B88/Inputs!$B$2)</f>
        <v>3.91</v>
      </c>
      <c r="E88" s="3" t="str">
        <f>D88*Inputs!$B$9</f>
        <v>173.37</v>
      </c>
      <c r="F88" s="3" t="str">
        <f>Inputs!$B$10</f>
        <v>20.00</v>
      </c>
      <c r="G88" s="3" t="str">
        <f>Inputs!$B$11</f>
        <v>30.00</v>
      </c>
      <c r="H88" s="3" t="str">
        <f>Inputs!$B$12/30</f>
        <v>50.00</v>
      </c>
      <c r="I88" s="3" t="str">
        <f t="shared" si="1"/>
        <v>273.37</v>
      </c>
      <c r="J88" s="3" t="str">
        <f>Inputs!$B$6*Inputs!$B$7</f>
        <v>0.35</v>
      </c>
      <c r="K88" s="3" t="str">
        <f>C88*Inputs!$B$4</f>
        <v>88,706.00</v>
      </c>
      <c r="L88" s="3" t="str">
        <f t="shared" si="2"/>
        <v>22,042.89</v>
      </c>
      <c r="M88" s="3" t="str">
        <f>Inputs!$B$3+L88</f>
        <v>102,042.89</v>
      </c>
      <c r="N88" s="3" t="str">
        <f t="shared" si="3"/>
        <v>-13,336.89</v>
      </c>
      <c r="O88" s="6" t="str">
        <f t="shared" si="4"/>
        <v>-13.07%</v>
      </c>
    </row>
    <row r="89" ht="15.75" customHeight="1">
      <c r="A89" s="2">
        <v>88.0</v>
      </c>
      <c r="B89" s="3" t="str">
        <f>Inputs!$B$2+Inputs!$B$6*A89</f>
        <v>261.60</v>
      </c>
      <c r="C89" s="3" t="str">
        <f>B89*Inputs!$B$5</f>
        <v>130.80</v>
      </c>
      <c r="D89" s="3" t="str">
        <f>Inputs!$B$8*(B89/Inputs!$B$2)</f>
        <v>3.92</v>
      </c>
      <c r="E89" s="3" t="str">
        <f>D89*Inputs!$B$9</f>
        <v>173.83</v>
      </c>
      <c r="F89" s="3" t="str">
        <f>Inputs!$B$10</f>
        <v>20.00</v>
      </c>
      <c r="G89" s="3" t="str">
        <f>Inputs!$B$11</f>
        <v>30.00</v>
      </c>
      <c r="H89" s="3" t="str">
        <f>Inputs!$B$12/30</f>
        <v>50.00</v>
      </c>
      <c r="I89" s="3" t="str">
        <f t="shared" si="1"/>
        <v>273.83</v>
      </c>
      <c r="J89" s="3" t="str">
        <f>Inputs!$B$6*Inputs!$B$7</f>
        <v>0.35</v>
      </c>
      <c r="K89" s="3" t="str">
        <f>C89*Inputs!$B$4</f>
        <v>88,944.00</v>
      </c>
      <c r="L89" s="3" t="str">
        <f t="shared" si="2"/>
        <v>22,316.73</v>
      </c>
      <c r="M89" s="3" t="str">
        <f>Inputs!$B$3+L89</f>
        <v>102,316.73</v>
      </c>
      <c r="N89" s="3" t="str">
        <f t="shared" si="3"/>
        <v>-13,372.73</v>
      </c>
      <c r="O89" s="6" t="str">
        <f t="shared" si="4"/>
        <v>-13.07%</v>
      </c>
    </row>
    <row r="90" ht="15.75" customHeight="1">
      <c r="A90" s="2">
        <v>89.0</v>
      </c>
      <c r="B90" s="3" t="str">
        <f>Inputs!$B$2+Inputs!$B$6*A90</f>
        <v>262.30</v>
      </c>
      <c r="C90" s="3" t="str">
        <f>B90*Inputs!$B$5</f>
        <v>131.15</v>
      </c>
      <c r="D90" s="3" t="str">
        <f>Inputs!$B$8*(B90/Inputs!$B$2)</f>
        <v>3.93</v>
      </c>
      <c r="E90" s="3" t="str">
        <f>D90*Inputs!$B$9</f>
        <v>174.30</v>
      </c>
      <c r="F90" s="3" t="str">
        <f>Inputs!$B$10</f>
        <v>20.00</v>
      </c>
      <c r="G90" s="3" t="str">
        <f>Inputs!$B$11</f>
        <v>30.00</v>
      </c>
      <c r="H90" s="3" t="str">
        <f>Inputs!$B$12/30</f>
        <v>50.00</v>
      </c>
      <c r="I90" s="3" t="str">
        <f t="shared" si="1"/>
        <v>274.30</v>
      </c>
      <c r="J90" s="3" t="str">
        <f>Inputs!$B$6*Inputs!$B$7</f>
        <v>0.35</v>
      </c>
      <c r="K90" s="3" t="str">
        <f>C90*Inputs!$B$4</f>
        <v>89,182.00</v>
      </c>
      <c r="L90" s="3" t="str">
        <f t="shared" si="2"/>
        <v>22,591.03</v>
      </c>
      <c r="M90" s="3" t="str">
        <f>Inputs!$B$3+L90</f>
        <v>102,591.03</v>
      </c>
      <c r="N90" s="3" t="str">
        <f t="shared" si="3"/>
        <v>-13,409.03</v>
      </c>
      <c r="O90" s="6" t="str">
        <f t="shared" si="4"/>
        <v>-13.07%</v>
      </c>
    </row>
    <row r="91" ht="15.75" customHeight="1">
      <c r="A91" s="2">
        <v>90.0</v>
      </c>
      <c r="B91" s="3" t="str">
        <f>Inputs!$B$2+Inputs!$B$6*A91</f>
        <v>263.00</v>
      </c>
      <c r="C91" s="3" t="str">
        <f>B91*Inputs!$B$5</f>
        <v>131.50</v>
      </c>
      <c r="D91" s="3" t="str">
        <f>Inputs!$B$8*(B91/Inputs!$B$2)</f>
        <v>3.95</v>
      </c>
      <c r="E91" s="3" t="str">
        <f>D91*Inputs!$B$9</f>
        <v>174.76</v>
      </c>
      <c r="F91" s="3" t="str">
        <f>Inputs!$B$10</f>
        <v>20.00</v>
      </c>
      <c r="G91" s="3" t="str">
        <f>Inputs!$B$11</f>
        <v>30.00</v>
      </c>
      <c r="H91" s="3" t="str">
        <f>Inputs!$B$12/30</f>
        <v>50.00</v>
      </c>
      <c r="I91" s="3" t="str">
        <f t="shared" si="1"/>
        <v>274.76</v>
      </c>
      <c r="J91" s="3" t="str">
        <f>Inputs!$B$6*Inputs!$B$7</f>
        <v>0.35</v>
      </c>
      <c r="K91" s="3" t="str">
        <f>C91*Inputs!$B$4</f>
        <v>89,420.00</v>
      </c>
      <c r="L91" s="3" t="str">
        <f t="shared" si="2"/>
        <v>22,865.79</v>
      </c>
      <c r="M91" s="3" t="str">
        <f>Inputs!$B$3+L91</f>
        <v>102,865.79</v>
      </c>
      <c r="N91" s="3" t="str">
        <f t="shared" si="3"/>
        <v>-13,445.79</v>
      </c>
      <c r="O91" s="6" t="str">
        <f t="shared" si="4"/>
        <v>-13.07%</v>
      </c>
    </row>
    <row r="92" ht="15.75" customHeight="1">
      <c r="A92" s="2">
        <v>91.0</v>
      </c>
      <c r="B92" s="3" t="str">
        <f>Inputs!$B$2+Inputs!$B$6*A92</f>
        <v>263.70</v>
      </c>
      <c r="C92" s="3" t="str">
        <f>B92*Inputs!$B$5</f>
        <v>131.85</v>
      </c>
      <c r="D92" s="3" t="str">
        <f>Inputs!$B$8*(B92/Inputs!$B$2)</f>
        <v>3.96</v>
      </c>
      <c r="E92" s="3" t="str">
        <f>D92*Inputs!$B$9</f>
        <v>175.23</v>
      </c>
      <c r="F92" s="3" t="str">
        <f>Inputs!$B$10</f>
        <v>20.00</v>
      </c>
      <c r="G92" s="3" t="str">
        <f>Inputs!$B$11</f>
        <v>30.00</v>
      </c>
      <c r="H92" s="3" t="str">
        <f>Inputs!$B$12/30</f>
        <v>50.00</v>
      </c>
      <c r="I92" s="3" t="str">
        <f t="shared" si="1"/>
        <v>275.23</v>
      </c>
      <c r="J92" s="3" t="str">
        <f>Inputs!$B$6*Inputs!$B$7</f>
        <v>0.35</v>
      </c>
      <c r="K92" s="3" t="str">
        <f>C92*Inputs!$B$4</f>
        <v>89,658.00</v>
      </c>
      <c r="L92" s="3" t="str">
        <f t="shared" si="2"/>
        <v>23,141.02</v>
      </c>
      <c r="M92" s="3" t="str">
        <f>Inputs!$B$3+L92</f>
        <v>103,141.02</v>
      </c>
      <c r="N92" s="3" t="str">
        <f t="shared" si="3"/>
        <v>-13,483.02</v>
      </c>
      <c r="O92" s="6" t="str">
        <f t="shared" si="4"/>
        <v>-13.07%</v>
      </c>
    </row>
    <row r="93" ht="15.75" customHeight="1">
      <c r="A93" s="2">
        <v>92.0</v>
      </c>
      <c r="B93" s="3" t="str">
        <f>Inputs!$B$2+Inputs!$B$6*A93</f>
        <v>264.40</v>
      </c>
      <c r="C93" s="3" t="str">
        <f>B93*Inputs!$B$5</f>
        <v>132.20</v>
      </c>
      <c r="D93" s="3" t="str">
        <f>Inputs!$B$8*(B93/Inputs!$B$2)</f>
        <v>3.97</v>
      </c>
      <c r="E93" s="3" t="str">
        <f>D93*Inputs!$B$9</f>
        <v>175.69</v>
      </c>
      <c r="F93" s="3" t="str">
        <f>Inputs!$B$10</f>
        <v>20.00</v>
      </c>
      <c r="G93" s="3" t="str">
        <f>Inputs!$B$11</f>
        <v>30.00</v>
      </c>
      <c r="H93" s="3" t="str">
        <f>Inputs!$B$12/30</f>
        <v>50.00</v>
      </c>
      <c r="I93" s="3" t="str">
        <f t="shared" si="1"/>
        <v>275.69</v>
      </c>
      <c r="J93" s="3" t="str">
        <f>Inputs!$B$6*Inputs!$B$7</f>
        <v>0.35</v>
      </c>
      <c r="K93" s="3" t="str">
        <f>C93*Inputs!$B$4</f>
        <v>89,896.00</v>
      </c>
      <c r="L93" s="3" t="str">
        <f t="shared" si="2"/>
        <v>23,416.71</v>
      </c>
      <c r="M93" s="3" t="str">
        <f>Inputs!$B$3+L93</f>
        <v>103,416.71</v>
      </c>
      <c r="N93" s="3" t="str">
        <f t="shared" si="3"/>
        <v>-13,520.71</v>
      </c>
      <c r="O93" s="6" t="str">
        <f t="shared" si="4"/>
        <v>-13.07%</v>
      </c>
    </row>
    <row r="94" ht="15.75" customHeight="1">
      <c r="A94" s="2">
        <v>93.0</v>
      </c>
      <c r="B94" s="3" t="str">
        <f>Inputs!$B$2+Inputs!$B$6*A94</f>
        <v>265.10</v>
      </c>
      <c r="C94" s="3" t="str">
        <f>B94*Inputs!$B$5</f>
        <v>132.55</v>
      </c>
      <c r="D94" s="3" t="str">
        <f>Inputs!$B$8*(B94/Inputs!$B$2)</f>
        <v>3.98</v>
      </c>
      <c r="E94" s="3" t="str">
        <f>D94*Inputs!$B$9</f>
        <v>176.16</v>
      </c>
      <c r="F94" s="3" t="str">
        <f>Inputs!$B$10</f>
        <v>20.00</v>
      </c>
      <c r="G94" s="3" t="str">
        <f>Inputs!$B$11</f>
        <v>30.00</v>
      </c>
      <c r="H94" s="3" t="str">
        <f>Inputs!$B$12/30</f>
        <v>50.00</v>
      </c>
      <c r="I94" s="3" t="str">
        <f t="shared" si="1"/>
        <v>276.16</v>
      </c>
      <c r="J94" s="3" t="str">
        <f>Inputs!$B$6*Inputs!$B$7</f>
        <v>0.35</v>
      </c>
      <c r="K94" s="3" t="str">
        <f>C94*Inputs!$B$4</f>
        <v>90,134.00</v>
      </c>
      <c r="L94" s="3" t="str">
        <f t="shared" si="2"/>
        <v>23,692.87</v>
      </c>
      <c r="M94" s="3" t="str">
        <f>Inputs!$B$3+L94</f>
        <v>103,692.87</v>
      </c>
      <c r="N94" s="3" t="str">
        <f t="shared" si="3"/>
        <v>-13,558.87</v>
      </c>
      <c r="O94" s="6" t="str">
        <f t="shared" si="4"/>
        <v>-13.08%</v>
      </c>
    </row>
    <row r="95" ht="15.75" customHeight="1">
      <c r="A95" s="2">
        <v>94.0</v>
      </c>
      <c r="B95" s="3" t="str">
        <f>Inputs!$B$2+Inputs!$B$6*A95</f>
        <v>265.80</v>
      </c>
      <c r="C95" s="3" t="str">
        <f>B95*Inputs!$B$5</f>
        <v>132.90</v>
      </c>
      <c r="D95" s="3" t="str">
        <f>Inputs!$B$8*(B95/Inputs!$B$2)</f>
        <v>3.99</v>
      </c>
      <c r="E95" s="3" t="str">
        <f>D95*Inputs!$B$9</f>
        <v>176.62</v>
      </c>
      <c r="F95" s="3" t="str">
        <f>Inputs!$B$10</f>
        <v>20.00</v>
      </c>
      <c r="G95" s="3" t="str">
        <f>Inputs!$B$11</f>
        <v>30.00</v>
      </c>
      <c r="H95" s="3" t="str">
        <f>Inputs!$B$12/30</f>
        <v>50.00</v>
      </c>
      <c r="I95" s="3" t="str">
        <f t="shared" si="1"/>
        <v>276.62</v>
      </c>
      <c r="J95" s="3" t="str">
        <f>Inputs!$B$6*Inputs!$B$7</f>
        <v>0.35</v>
      </c>
      <c r="K95" s="3" t="str">
        <f>C95*Inputs!$B$4</f>
        <v>90,372.00</v>
      </c>
      <c r="L95" s="3" t="str">
        <f t="shared" si="2"/>
        <v>23,969.49</v>
      </c>
      <c r="M95" s="3" t="str">
        <f>Inputs!$B$3+L95</f>
        <v>103,969.49</v>
      </c>
      <c r="N95" s="3" t="str">
        <f t="shared" si="3"/>
        <v>-13,597.49</v>
      </c>
      <c r="O95" s="6" t="str">
        <f t="shared" si="4"/>
        <v>-13.08%</v>
      </c>
    </row>
    <row r="96" ht="15.75" customHeight="1">
      <c r="A96" s="2">
        <v>95.0</v>
      </c>
      <c r="B96" s="3" t="str">
        <f>Inputs!$B$2+Inputs!$B$6*A96</f>
        <v>266.50</v>
      </c>
      <c r="C96" s="3" t="str">
        <f>B96*Inputs!$B$5</f>
        <v>133.25</v>
      </c>
      <c r="D96" s="3" t="str">
        <f>Inputs!$B$8*(B96/Inputs!$B$2)</f>
        <v>4.00</v>
      </c>
      <c r="E96" s="3" t="str">
        <f>D96*Inputs!$B$9</f>
        <v>177.09</v>
      </c>
      <c r="F96" s="3" t="str">
        <f>Inputs!$B$10</f>
        <v>20.00</v>
      </c>
      <c r="G96" s="3" t="str">
        <f>Inputs!$B$11</f>
        <v>30.00</v>
      </c>
      <c r="H96" s="3" t="str">
        <f>Inputs!$B$12/30</f>
        <v>50.00</v>
      </c>
      <c r="I96" s="3" t="str">
        <f t="shared" si="1"/>
        <v>277.09</v>
      </c>
      <c r="J96" s="3" t="str">
        <f>Inputs!$B$6*Inputs!$B$7</f>
        <v>0.35</v>
      </c>
      <c r="K96" s="3" t="str">
        <f>C96*Inputs!$B$4</f>
        <v>90,610.00</v>
      </c>
      <c r="L96" s="3" t="str">
        <f t="shared" si="2"/>
        <v>24,246.58</v>
      </c>
      <c r="M96" s="3" t="str">
        <f>Inputs!$B$3+L96</f>
        <v>104,246.58</v>
      </c>
      <c r="N96" s="3" t="str">
        <f t="shared" si="3"/>
        <v>-13,636.58</v>
      </c>
      <c r="O96" s="6" t="str">
        <f t="shared" si="4"/>
        <v>-13.08%</v>
      </c>
    </row>
    <row r="97" ht="15.75" customHeight="1">
      <c r="A97" s="2">
        <v>96.0</v>
      </c>
      <c r="B97" s="3" t="str">
        <f>Inputs!$B$2+Inputs!$B$6*A97</f>
        <v>267.20</v>
      </c>
      <c r="C97" s="3" t="str">
        <f>B97*Inputs!$B$5</f>
        <v>133.60</v>
      </c>
      <c r="D97" s="3" t="str">
        <f>Inputs!$B$8*(B97/Inputs!$B$2)</f>
        <v>4.01</v>
      </c>
      <c r="E97" s="3" t="str">
        <f>D97*Inputs!$B$9</f>
        <v>177.55</v>
      </c>
      <c r="F97" s="3" t="str">
        <f>Inputs!$B$10</f>
        <v>20.00</v>
      </c>
      <c r="G97" s="3" t="str">
        <f>Inputs!$B$11</f>
        <v>30.00</v>
      </c>
      <c r="H97" s="3" t="str">
        <f>Inputs!$B$12/30</f>
        <v>50.00</v>
      </c>
      <c r="I97" s="3" t="str">
        <f t="shared" si="1"/>
        <v>277.55</v>
      </c>
      <c r="J97" s="3" t="str">
        <f>Inputs!$B$6*Inputs!$B$7</f>
        <v>0.35</v>
      </c>
      <c r="K97" s="3" t="str">
        <f>C97*Inputs!$B$4</f>
        <v>90,848.00</v>
      </c>
      <c r="L97" s="3" t="str">
        <f t="shared" si="2"/>
        <v>24,524.14</v>
      </c>
      <c r="M97" s="3" t="str">
        <f>Inputs!$B$3+L97</f>
        <v>104,524.14</v>
      </c>
      <c r="N97" s="3" t="str">
        <f t="shared" si="3"/>
        <v>-13,676.14</v>
      </c>
      <c r="O97" s="6" t="str">
        <f t="shared" si="4"/>
        <v>-13.08%</v>
      </c>
    </row>
    <row r="98" ht="15.75" customHeight="1">
      <c r="A98" s="2">
        <v>97.0</v>
      </c>
      <c r="B98" s="3" t="str">
        <f>Inputs!$B$2+Inputs!$B$6*A98</f>
        <v>267.90</v>
      </c>
      <c r="C98" s="3" t="str">
        <f>B98*Inputs!$B$5</f>
        <v>133.95</v>
      </c>
      <c r="D98" s="3" t="str">
        <f>Inputs!$B$8*(B98/Inputs!$B$2)</f>
        <v>4.02</v>
      </c>
      <c r="E98" s="3" t="str">
        <f>D98*Inputs!$B$9</f>
        <v>178.02</v>
      </c>
      <c r="F98" s="3" t="str">
        <f>Inputs!$B$10</f>
        <v>20.00</v>
      </c>
      <c r="G98" s="3" t="str">
        <f>Inputs!$B$11</f>
        <v>30.00</v>
      </c>
      <c r="H98" s="3" t="str">
        <f>Inputs!$B$12/30</f>
        <v>50.00</v>
      </c>
      <c r="I98" s="3" t="str">
        <f t="shared" si="1"/>
        <v>278.02</v>
      </c>
      <c r="J98" s="3" t="str">
        <f>Inputs!$B$6*Inputs!$B$7</f>
        <v>0.35</v>
      </c>
      <c r="K98" s="3" t="str">
        <f>C98*Inputs!$B$4</f>
        <v>91,086.00</v>
      </c>
      <c r="L98" s="3" t="str">
        <f t="shared" si="2"/>
        <v>24,802.16</v>
      </c>
      <c r="M98" s="3" t="str">
        <f>Inputs!$B$3+L98</f>
        <v>104,802.16</v>
      </c>
      <c r="N98" s="3" t="str">
        <f t="shared" si="3"/>
        <v>-13,716.16</v>
      </c>
      <c r="O98" s="6" t="str">
        <f t="shared" si="4"/>
        <v>-13.09%</v>
      </c>
    </row>
    <row r="99" ht="15.75" customHeight="1">
      <c r="A99" s="2">
        <v>98.0</v>
      </c>
      <c r="B99" s="3" t="str">
        <f>Inputs!$B$2+Inputs!$B$6*A99</f>
        <v>268.60</v>
      </c>
      <c r="C99" s="3" t="str">
        <f>B99*Inputs!$B$5</f>
        <v>134.30</v>
      </c>
      <c r="D99" s="3" t="str">
        <f>Inputs!$B$8*(B99/Inputs!$B$2)</f>
        <v>4.03</v>
      </c>
      <c r="E99" s="3" t="str">
        <f>D99*Inputs!$B$9</f>
        <v>178.48</v>
      </c>
      <c r="F99" s="3" t="str">
        <f>Inputs!$B$10</f>
        <v>20.00</v>
      </c>
      <c r="G99" s="3" t="str">
        <f>Inputs!$B$11</f>
        <v>30.00</v>
      </c>
      <c r="H99" s="3" t="str">
        <f>Inputs!$B$12/30</f>
        <v>50.00</v>
      </c>
      <c r="I99" s="3" t="str">
        <f t="shared" si="1"/>
        <v>278.48</v>
      </c>
      <c r="J99" s="3" t="str">
        <f>Inputs!$B$6*Inputs!$B$7</f>
        <v>0.35</v>
      </c>
      <c r="K99" s="3" t="str">
        <f>C99*Inputs!$B$4</f>
        <v>91,324.00</v>
      </c>
      <c r="L99" s="3" t="str">
        <f t="shared" si="2"/>
        <v>25,080.64</v>
      </c>
      <c r="M99" s="3" t="str">
        <f>Inputs!$B$3+L99</f>
        <v>105,080.64</v>
      </c>
      <c r="N99" s="3" t="str">
        <f t="shared" si="3"/>
        <v>-13,756.64</v>
      </c>
      <c r="O99" s="6" t="str">
        <f t="shared" si="4"/>
        <v>-13.09%</v>
      </c>
    </row>
    <row r="100" ht="15.75" customHeight="1">
      <c r="A100" s="2">
        <v>99.0</v>
      </c>
      <c r="B100" s="3" t="str">
        <f>Inputs!$B$2+Inputs!$B$6*A100</f>
        <v>269.30</v>
      </c>
      <c r="C100" s="3" t="str">
        <f>B100*Inputs!$B$5</f>
        <v>134.65</v>
      </c>
      <c r="D100" s="3" t="str">
        <f>Inputs!$B$8*(B100/Inputs!$B$2)</f>
        <v>4.04</v>
      </c>
      <c r="E100" s="3" t="str">
        <f>D100*Inputs!$B$9</f>
        <v>178.95</v>
      </c>
      <c r="F100" s="3" t="str">
        <f>Inputs!$B$10</f>
        <v>20.00</v>
      </c>
      <c r="G100" s="3" t="str">
        <f>Inputs!$B$11</f>
        <v>30.00</v>
      </c>
      <c r="H100" s="3" t="str">
        <f>Inputs!$B$12/30</f>
        <v>50.00</v>
      </c>
      <c r="I100" s="3" t="str">
        <f t="shared" si="1"/>
        <v>278.95</v>
      </c>
      <c r="J100" s="3" t="str">
        <f>Inputs!$B$6*Inputs!$B$7</f>
        <v>0.35</v>
      </c>
      <c r="K100" s="3" t="str">
        <f>C100*Inputs!$B$4</f>
        <v>91,562.00</v>
      </c>
      <c r="L100" s="3" t="str">
        <f t="shared" si="2"/>
        <v>25,359.59</v>
      </c>
      <c r="M100" s="3" t="str">
        <f>Inputs!$B$3+L100</f>
        <v>105,359.59</v>
      </c>
      <c r="N100" s="3" t="str">
        <f t="shared" si="3"/>
        <v>-13,797.59</v>
      </c>
      <c r="O100" s="6" t="str">
        <f t="shared" si="4"/>
        <v>-13.10%</v>
      </c>
    </row>
    <row r="101" ht="15.75" customHeight="1">
      <c r="A101" s="2">
        <v>100.0</v>
      </c>
      <c r="B101" s="3" t="str">
        <f>Inputs!$B$2+Inputs!$B$6*A101</f>
        <v>270.00</v>
      </c>
      <c r="C101" s="3" t="str">
        <f>B101*Inputs!$B$5</f>
        <v>135.00</v>
      </c>
      <c r="D101" s="3" t="str">
        <f>Inputs!$B$8*(B101/Inputs!$B$2)</f>
        <v>4.05</v>
      </c>
      <c r="E101" s="3" t="str">
        <f>D101*Inputs!$B$9</f>
        <v>179.42</v>
      </c>
      <c r="F101" s="3" t="str">
        <f>Inputs!$B$10</f>
        <v>20.00</v>
      </c>
      <c r="G101" s="3" t="str">
        <f>Inputs!$B$11</f>
        <v>30.00</v>
      </c>
      <c r="H101" s="3" t="str">
        <f>Inputs!$B$12/30</f>
        <v>50.00</v>
      </c>
      <c r="I101" s="3" t="str">
        <f t="shared" si="1"/>
        <v>279.42</v>
      </c>
      <c r="J101" s="3" t="str">
        <f>Inputs!$B$6*Inputs!$B$7</f>
        <v>0.35</v>
      </c>
      <c r="K101" s="3" t="str">
        <f>C101*Inputs!$B$4</f>
        <v>91,800.00</v>
      </c>
      <c r="L101" s="3" t="str">
        <f t="shared" si="2"/>
        <v>25,639.01</v>
      </c>
      <c r="M101" s="3" t="str">
        <f>Inputs!$B$3+L101</f>
        <v>105,639.01</v>
      </c>
      <c r="N101" s="3" t="str">
        <f t="shared" si="3"/>
        <v>-13,839.01</v>
      </c>
      <c r="O101" s="6" t="str">
        <f t="shared" si="4"/>
        <v>-13.10%</v>
      </c>
    </row>
    <row r="102" ht="15.75" customHeight="1">
      <c r="A102" s="2">
        <v>101.0</v>
      </c>
      <c r="B102" s="3" t="str">
        <f>Inputs!$B$2+Inputs!$B$6*A102</f>
        <v>270.70</v>
      </c>
      <c r="C102" s="3" t="str">
        <f>B102*Inputs!$B$5</f>
        <v>135.35</v>
      </c>
      <c r="D102" s="3" t="str">
        <f>Inputs!$B$8*(B102/Inputs!$B$2)</f>
        <v>4.06</v>
      </c>
      <c r="E102" s="3" t="str">
        <f>D102*Inputs!$B$9</f>
        <v>179.88</v>
      </c>
      <c r="F102" s="3" t="str">
        <f>Inputs!$B$10</f>
        <v>20.00</v>
      </c>
      <c r="G102" s="3" t="str">
        <f>Inputs!$B$11</f>
        <v>30.00</v>
      </c>
      <c r="H102" s="3" t="str">
        <f>Inputs!$B$12/30</f>
        <v>50.00</v>
      </c>
      <c r="I102" s="3" t="str">
        <f t="shared" si="1"/>
        <v>279.88</v>
      </c>
      <c r="J102" s="3" t="str">
        <f>Inputs!$B$6*Inputs!$B$7</f>
        <v>0.35</v>
      </c>
      <c r="K102" s="3" t="str">
        <f>C102*Inputs!$B$4</f>
        <v>92,038.00</v>
      </c>
      <c r="L102" s="3" t="str">
        <f t="shared" si="2"/>
        <v>25,918.89</v>
      </c>
      <c r="M102" s="3" t="str">
        <f>Inputs!$B$3+L102</f>
        <v>105,918.89</v>
      </c>
      <c r="N102" s="3" t="str">
        <f t="shared" si="3"/>
        <v>-13,880.89</v>
      </c>
      <c r="O102" s="6" t="str">
        <f t="shared" si="4"/>
        <v>-13.11%</v>
      </c>
    </row>
    <row r="103" ht="15.75" customHeight="1">
      <c r="A103" s="2">
        <v>102.0</v>
      </c>
      <c r="B103" s="3" t="str">
        <f>Inputs!$B$2+Inputs!$B$6*A103</f>
        <v>271.40</v>
      </c>
      <c r="C103" s="3" t="str">
        <f>B103*Inputs!$B$5</f>
        <v>135.70</v>
      </c>
      <c r="D103" s="3" t="str">
        <f>Inputs!$B$8*(B103/Inputs!$B$2)</f>
        <v>4.07</v>
      </c>
      <c r="E103" s="3" t="str">
        <f>D103*Inputs!$B$9</f>
        <v>180.35</v>
      </c>
      <c r="F103" s="3" t="str">
        <f>Inputs!$B$10</f>
        <v>20.00</v>
      </c>
      <c r="G103" s="3" t="str">
        <f>Inputs!$B$11</f>
        <v>30.00</v>
      </c>
      <c r="H103" s="3" t="str">
        <f>Inputs!$B$12/30</f>
        <v>50.00</v>
      </c>
      <c r="I103" s="3" t="str">
        <f t="shared" si="1"/>
        <v>280.35</v>
      </c>
      <c r="J103" s="3" t="str">
        <f>Inputs!$B$6*Inputs!$B$7</f>
        <v>0.35</v>
      </c>
      <c r="K103" s="3" t="str">
        <f>C103*Inputs!$B$4</f>
        <v>92,276.00</v>
      </c>
      <c r="L103" s="3" t="str">
        <f t="shared" si="2"/>
        <v>26,199.23</v>
      </c>
      <c r="M103" s="3" t="str">
        <f>Inputs!$B$3+L103</f>
        <v>106,199.23</v>
      </c>
      <c r="N103" s="3" t="str">
        <f t="shared" si="3"/>
        <v>-13,923.23</v>
      </c>
      <c r="O103" s="6" t="str">
        <f t="shared" si="4"/>
        <v>-13.11%</v>
      </c>
    </row>
    <row r="104" ht="15.75" customHeight="1">
      <c r="A104" s="2">
        <v>103.0</v>
      </c>
      <c r="B104" s="3" t="str">
        <f>Inputs!$B$2+Inputs!$B$6*A104</f>
        <v>272.10</v>
      </c>
      <c r="C104" s="3" t="str">
        <f>B104*Inputs!$B$5</f>
        <v>136.05</v>
      </c>
      <c r="D104" s="3" t="str">
        <f>Inputs!$B$8*(B104/Inputs!$B$2)</f>
        <v>4.08</v>
      </c>
      <c r="E104" s="3" t="str">
        <f>D104*Inputs!$B$9</f>
        <v>180.81</v>
      </c>
      <c r="F104" s="3" t="str">
        <f>Inputs!$B$10</f>
        <v>20.00</v>
      </c>
      <c r="G104" s="3" t="str">
        <f>Inputs!$B$11</f>
        <v>30.00</v>
      </c>
      <c r="H104" s="3" t="str">
        <f>Inputs!$B$12/30</f>
        <v>50.00</v>
      </c>
      <c r="I104" s="3" t="str">
        <f t="shared" si="1"/>
        <v>280.81</v>
      </c>
      <c r="J104" s="3" t="str">
        <f>Inputs!$B$6*Inputs!$B$7</f>
        <v>0.35</v>
      </c>
      <c r="K104" s="3" t="str">
        <f>C104*Inputs!$B$4</f>
        <v>92,514.00</v>
      </c>
      <c r="L104" s="3" t="str">
        <f t="shared" si="2"/>
        <v>26,480.04</v>
      </c>
      <c r="M104" s="3" t="str">
        <f>Inputs!$B$3+L104</f>
        <v>106,480.04</v>
      </c>
      <c r="N104" s="3" t="str">
        <f t="shared" si="3"/>
        <v>-13,966.04</v>
      </c>
      <c r="O104" s="6" t="str">
        <f t="shared" si="4"/>
        <v>-13.12%</v>
      </c>
    </row>
    <row r="105" ht="15.75" customHeight="1">
      <c r="A105" s="2">
        <v>104.0</v>
      </c>
      <c r="B105" s="3" t="str">
        <f>Inputs!$B$2+Inputs!$B$6*A105</f>
        <v>272.80</v>
      </c>
      <c r="C105" s="3" t="str">
        <f>B105*Inputs!$B$5</f>
        <v>136.40</v>
      </c>
      <c r="D105" s="3" t="str">
        <f>Inputs!$B$8*(B105/Inputs!$B$2)</f>
        <v>4.09</v>
      </c>
      <c r="E105" s="3" t="str">
        <f>D105*Inputs!$B$9</f>
        <v>181.28</v>
      </c>
      <c r="F105" s="3" t="str">
        <f>Inputs!$B$10</f>
        <v>20.00</v>
      </c>
      <c r="G105" s="3" t="str">
        <f>Inputs!$B$11</f>
        <v>30.00</v>
      </c>
      <c r="H105" s="3" t="str">
        <f>Inputs!$B$12/30</f>
        <v>50.00</v>
      </c>
      <c r="I105" s="3" t="str">
        <f t="shared" si="1"/>
        <v>281.28</v>
      </c>
      <c r="J105" s="3" t="str">
        <f>Inputs!$B$6*Inputs!$B$7</f>
        <v>0.35</v>
      </c>
      <c r="K105" s="3" t="str">
        <f>C105*Inputs!$B$4</f>
        <v>92,752.00</v>
      </c>
      <c r="L105" s="3" t="str">
        <f t="shared" si="2"/>
        <v>26,761.32</v>
      </c>
      <c r="M105" s="3" t="str">
        <f>Inputs!$B$3+L105</f>
        <v>106,761.32</v>
      </c>
      <c r="N105" s="3" t="str">
        <f t="shared" si="3"/>
        <v>-14,009.32</v>
      </c>
      <c r="O105" s="6" t="str">
        <f t="shared" si="4"/>
        <v>-13.12%</v>
      </c>
    </row>
    <row r="106" ht="15.75" customHeight="1">
      <c r="A106" s="2">
        <v>105.0</v>
      </c>
      <c r="B106" s="3" t="str">
        <f>Inputs!$B$2+Inputs!$B$6*A106</f>
        <v>273.50</v>
      </c>
      <c r="C106" s="3" t="str">
        <f>B106*Inputs!$B$5</f>
        <v>136.75</v>
      </c>
      <c r="D106" s="3" t="str">
        <f>Inputs!$B$8*(B106/Inputs!$B$2)</f>
        <v>4.10</v>
      </c>
      <c r="E106" s="3" t="str">
        <f>D106*Inputs!$B$9</f>
        <v>181.74</v>
      </c>
      <c r="F106" s="3" t="str">
        <f>Inputs!$B$10</f>
        <v>20.00</v>
      </c>
      <c r="G106" s="3" t="str">
        <f>Inputs!$B$11</f>
        <v>30.00</v>
      </c>
      <c r="H106" s="3" t="str">
        <f>Inputs!$B$12/30</f>
        <v>50.00</v>
      </c>
      <c r="I106" s="3" t="str">
        <f t="shared" si="1"/>
        <v>281.74</v>
      </c>
      <c r="J106" s="3" t="str">
        <f>Inputs!$B$6*Inputs!$B$7</f>
        <v>0.35</v>
      </c>
      <c r="K106" s="3" t="str">
        <f>C106*Inputs!$B$4</f>
        <v>92,990.00</v>
      </c>
      <c r="L106" s="3" t="str">
        <f t="shared" si="2"/>
        <v>27,043.06</v>
      </c>
      <c r="M106" s="3" t="str">
        <f>Inputs!$B$3+L106</f>
        <v>107,043.06</v>
      </c>
      <c r="N106" s="3" t="str">
        <f t="shared" si="3"/>
        <v>-14,053.06</v>
      </c>
      <c r="O106" s="6" t="str">
        <f t="shared" si="4"/>
        <v>-13.13%</v>
      </c>
    </row>
    <row r="107" ht="15.75" customHeight="1">
      <c r="A107" s="2">
        <v>106.0</v>
      </c>
      <c r="B107" s="3" t="str">
        <f>Inputs!$B$2+Inputs!$B$6*A107</f>
        <v>274.20</v>
      </c>
      <c r="C107" s="3" t="str">
        <f>B107*Inputs!$B$5</f>
        <v>137.10</v>
      </c>
      <c r="D107" s="3" t="str">
        <f>Inputs!$B$8*(B107/Inputs!$B$2)</f>
        <v>4.11</v>
      </c>
      <c r="E107" s="3" t="str">
        <f>D107*Inputs!$B$9</f>
        <v>182.21</v>
      </c>
      <c r="F107" s="3" t="str">
        <f>Inputs!$B$10</f>
        <v>20.00</v>
      </c>
      <c r="G107" s="3" t="str">
        <f>Inputs!$B$11</f>
        <v>30.00</v>
      </c>
      <c r="H107" s="3" t="str">
        <f>Inputs!$B$12/30</f>
        <v>50.00</v>
      </c>
      <c r="I107" s="3" t="str">
        <f t="shared" si="1"/>
        <v>282.21</v>
      </c>
      <c r="J107" s="3" t="str">
        <f>Inputs!$B$6*Inputs!$B$7</f>
        <v>0.35</v>
      </c>
      <c r="K107" s="3" t="str">
        <f>C107*Inputs!$B$4</f>
        <v>93,228.00</v>
      </c>
      <c r="L107" s="3" t="str">
        <f t="shared" si="2"/>
        <v>27,325.27</v>
      </c>
      <c r="M107" s="3" t="str">
        <f>Inputs!$B$3+L107</f>
        <v>107,325.27</v>
      </c>
      <c r="N107" s="3" t="str">
        <f t="shared" si="3"/>
        <v>-14,097.27</v>
      </c>
      <c r="O107" s="6" t="str">
        <f t="shared" si="4"/>
        <v>-13.14%</v>
      </c>
    </row>
    <row r="108" ht="15.75" customHeight="1">
      <c r="A108" s="2">
        <v>107.0</v>
      </c>
      <c r="B108" s="3" t="str">
        <f>Inputs!$B$2+Inputs!$B$6*A108</f>
        <v>274.90</v>
      </c>
      <c r="C108" s="3" t="str">
        <f>B108*Inputs!$B$5</f>
        <v>137.45</v>
      </c>
      <c r="D108" s="3" t="str">
        <f>Inputs!$B$8*(B108/Inputs!$B$2)</f>
        <v>4.12</v>
      </c>
      <c r="E108" s="3" t="str">
        <f>D108*Inputs!$B$9</f>
        <v>182.67</v>
      </c>
      <c r="F108" s="3" t="str">
        <f>Inputs!$B$10</f>
        <v>20.00</v>
      </c>
      <c r="G108" s="3" t="str">
        <f>Inputs!$B$11</f>
        <v>30.00</v>
      </c>
      <c r="H108" s="3" t="str">
        <f>Inputs!$B$12/30</f>
        <v>50.00</v>
      </c>
      <c r="I108" s="3" t="str">
        <f t="shared" si="1"/>
        <v>282.67</v>
      </c>
      <c r="J108" s="3" t="str">
        <f>Inputs!$B$6*Inputs!$B$7</f>
        <v>0.35</v>
      </c>
      <c r="K108" s="3" t="str">
        <f>C108*Inputs!$B$4</f>
        <v>93,466.00</v>
      </c>
      <c r="L108" s="3" t="str">
        <f t="shared" si="2"/>
        <v>27,607.94</v>
      </c>
      <c r="M108" s="3" t="str">
        <f>Inputs!$B$3+L108</f>
        <v>107,607.94</v>
      </c>
      <c r="N108" s="3" t="str">
        <f t="shared" si="3"/>
        <v>-14,141.94</v>
      </c>
      <c r="O108" s="6" t="str">
        <f t="shared" si="4"/>
        <v>-13.14%</v>
      </c>
    </row>
    <row r="109" ht="15.75" customHeight="1">
      <c r="A109" s="2">
        <v>108.0</v>
      </c>
      <c r="B109" s="3" t="str">
        <f>Inputs!$B$2+Inputs!$B$6*A109</f>
        <v>275.60</v>
      </c>
      <c r="C109" s="3" t="str">
        <f>B109*Inputs!$B$5</f>
        <v>137.80</v>
      </c>
      <c r="D109" s="3" t="str">
        <f>Inputs!$B$8*(B109/Inputs!$B$2)</f>
        <v>4.13</v>
      </c>
      <c r="E109" s="3" t="str">
        <f>D109*Inputs!$B$9</f>
        <v>183.14</v>
      </c>
      <c r="F109" s="3" t="str">
        <f>Inputs!$B$10</f>
        <v>20.00</v>
      </c>
      <c r="G109" s="3" t="str">
        <f>Inputs!$B$11</f>
        <v>30.00</v>
      </c>
      <c r="H109" s="3" t="str">
        <f>Inputs!$B$12/30</f>
        <v>50.00</v>
      </c>
      <c r="I109" s="3" t="str">
        <f t="shared" si="1"/>
        <v>283.14</v>
      </c>
      <c r="J109" s="3" t="str">
        <f>Inputs!$B$6*Inputs!$B$7</f>
        <v>0.35</v>
      </c>
      <c r="K109" s="3" t="str">
        <f>C109*Inputs!$B$4</f>
        <v>93,704.00</v>
      </c>
      <c r="L109" s="3" t="str">
        <f t="shared" si="2"/>
        <v>27,891.07</v>
      </c>
      <c r="M109" s="3" t="str">
        <f>Inputs!$B$3+L109</f>
        <v>107,891.07</v>
      </c>
      <c r="N109" s="3" t="str">
        <f t="shared" si="3"/>
        <v>-14,187.07</v>
      </c>
      <c r="O109" s="6" t="str">
        <f t="shared" si="4"/>
        <v>-13.15%</v>
      </c>
    </row>
    <row r="110" ht="15.75" customHeight="1">
      <c r="A110" s="2">
        <v>109.0</v>
      </c>
      <c r="B110" s="3" t="str">
        <f>Inputs!$B$2+Inputs!$B$6*A110</f>
        <v>276.30</v>
      </c>
      <c r="C110" s="3" t="str">
        <f>B110*Inputs!$B$5</f>
        <v>138.15</v>
      </c>
      <c r="D110" s="3" t="str">
        <f>Inputs!$B$8*(B110/Inputs!$B$2)</f>
        <v>4.14</v>
      </c>
      <c r="E110" s="3" t="str">
        <f>D110*Inputs!$B$9</f>
        <v>183.60</v>
      </c>
      <c r="F110" s="3" t="str">
        <f>Inputs!$B$10</f>
        <v>20.00</v>
      </c>
      <c r="G110" s="3" t="str">
        <f>Inputs!$B$11</f>
        <v>30.00</v>
      </c>
      <c r="H110" s="3" t="str">
        <f>Inputs!$B$12/30</f>
        <v>50.00</v>
      </c>
      <c r="I110" s="3" t="str">
        <f t="shared" si="1"/>
        <v>283.60</v>
      </c>
      <c r="J110" s="3" t="str">
        <f>Inputs!$B$6*Inputs!$B$7</f>
        <v>0.35</v>
      </c>
      <c r="K110" s="3" t="str">
        <f>C110*Inputs!$B$4</f>
        <v>93,942.00</v>
      </c>
      <c r="L110" s="3" t="str">
        <f t="shared" si="2"/>
        <v>28,174.67</v>
      </c>
      <c r="M110" s="3" t="str">
        <f>Inputs!$B$3+L110</f>
        <v>108,174.67</v>
      </c>
      <c r="N110" s="3" t="str">
        <f t="shared" si="3"/>
        <v>-14,232.67</v>
      </c>
      <c r="O110" s="6" t="str">
        <f t="shared" si="4"/>
        <v>-13.16%</v>
      </c>
    </row>
    <row r="111" ht="15.75" customHeight="1">
      <c r="A111" s="2">
        <v>110.0</v>
      </c>
      <c r="B111" s="3" t="str">
        <f>Inputs!$B$2+Inputs!$B$6*A111</f>
        <v>277.00</v>
      </c>
      <c r="C111" s="3" t="str">
        <f>B111*Inputs!$B$5</f>
        <v>138.50</v>
      </c>
      <c r="D111" s="3" t="str">
        <f>Inputs!$B$8*(B111/Inputs!$B$2)</f>
        <v>4.16</v>
      </c>
      <c r="E111" s="3" t="str">
        <f>D111*Inputs!$B$9</f>
        <v>184.07</v>
      </c>
      <c r="F111" s="3" t="str">
        <f>Inputs!$B$10</f>
        <v>20.00</v>
      </c>
      <c r="G111" s="3" t="str">
        <f>Inputs!$B$11</f>
        <v>30.00</v>
      </c>
      <c r="H111" s="3" t="str">
        <f>Inputs!$B$12/30</f>
        <v>50.00</v>
      </c>
      <c r="I111" s="3" t="str">
        <f t="shared" si="1"/>
        <v>284.07</v>
      </c>
      <c r="J111" s="3" t="str">
        <f>Inputs!$B$6*Inputs!$B$7</f>
        <v>0.35</v>
      </c>
      <c r="K111" s="3" t="str">
        <f>C111*Inputs!$B$4</f>
        <v>94,180.00</v>
      </c>
      <c r="L111" s="3" t="str">
        <f t="shared" si="2"/>
        <v>28,458.74</v>
      </c>
      <c r="M111" s="3" t="str">
        <f>Inputs!$B$3+L111</f>
        <v>108,458.74</v>
      </c>
      <c r="N111" s="3" t="str">
        <f t="shared" si="3"/>
        <v>-14,278.74</v>
      </c>
      <c r="O111" s="6" t="str">
        <f t="shared" si="4"/>
        <v>-13.17%</v>
      </c>
    </row>
    <row r="112" ht="15.75" customHeight="1">
      <c r="A112" s="2">
        <v>111.0</v>
      </c>
      <c r="B112" s="3" t="str">
        <f>Inputs!$B$2+Inputs!$B$6*A112</f>
        <v>277.70</v>
      </c>
      <c r="C112" s="3" t="str">
        <f>B112*Inputs!$B$5</f>
        <v>138.85</v>
      </c>
      <c r="D112" s="3" t="str">
        <f>Inputs!$B$8*(B112/Inputs!$B$2)</f>
        <v>4.17</v>
      </c>
      <c r="E112" s="3" t="str">
        <f>D112*Inputs!$B$9</f>
        <v>184.53</v>
      </c>
      <c r="F112" s="3" t="str">
        <f>Inputs!$B$10</f>
        <v>20.00</v>
      </c>
      <c r="G112" s="3" t="str">
        <f>Inputs!$B$11</f>
        <v>30.00</v>
      </c>
      <c r="H112" s="3" t="str">
        <f>Inputs!$B$12/30</f>
        <v>50.00</v>
      </c>
      <c r="I112" s="3" t="str">
        <f t="shared" si="1"/>
        <v>284.53</v>
      </c>
      <c r="J112" s="3" t="str">
        <f>Inputs!$B$6*Inputs!$B$7</f>
        <v>0.35</v>
      </c>
      <c r="K112" s="3" t="str">
        <f>C112*Inputs!$B$4</f>
        <v>94,418.00</v>
      </c>
      <c r="L112" s="3" t="str">
        <f t="shared" si="2"/>
        <v>28,743.27</v>
      </c>
      <c r="M112" s="3" t="str">
        <f>Inputs!$B$3+L112</f>
        <v>108,743.27</v>
      </c>
      <c r="N112" s="3" t="str">
        <f t="shared" si="3"/>
        <v>-14,325.27</v>
      </c>
      <c r="O112" s="6" t="str">
        <f t="shared" si="4"/>
        <v>-13.17%</v>
      </c>
    </row>
    <row r="113" ht="15.75" customHeight="1">
      <c r="A113" s="2">
        <v>112.0</v>
      </c>
      <c r="B113" s="3" t="str">
        <f>Inputs!$B$2+Inputs!$B$6*A113</f>
        <v>278.40</v>
      </c>
      <c r="C113" s="3" t="str">
        <f>B113*Inputs!$B$5</f>
        <v>139.20</v>
      </c>
      <c r="D113" s="3" t="str">
        <f>Inputs!$B$8*(B113/Inputs!$B$2)</f>
        <v>4.18</v>
      </c>
      <c r="E113" s="3" t="str">
        <f>D113*Inputs!$B$9</f>
        <v>185.00</v>
      </c>
      <c r="F113" s="3" t="str">
        <f>Inputs!$B$10</f>
        <v>20.00</v>
      </c>
      <c r="G113" s="3" t="str">
        <f>Inputs!$B$11</f>
        <v>30.00</v>
      </c>
      <c r="H113" s="3" t="str">
        <f>Inputs!$B$12/30</f>
        <v>50.00</v>
      </c>
      <c r="I113" s="3" t="str">
        <f t="shared" si="1"/>
        <v>285.00</v>
      </c>
      <c r="J113" s="3" t="str">
        <f>Inputs!$B$6*Inputs!$B$7</f>
        <v>0.35</v>
      </c>
      <c r="K113" s="3" t="str">
        <f>C113*Inputs!$B$4</f>
        <v>94,656.00</v>
      </c>
      <c r="L113" s="3" t="str">
        <f t="shared" si="2"/>
        <v>29,028.27</v>
      </c>
      <c r="M113" s="3" t="str">
        <f>Inputs!$B$3+L113</f>
        <v>109,028.27</v>
      </c>
      <c r="N113" s="3" t="str">
        <f t="shared" si="3"/>
        <v>-14,372.27</v>
      </c>
      <c r="O113" s="6" t="str">
        <f t="shared" si="4"/>
        <v>-13.18%</v>
      </c>
    </row>
    <row r="114" ht="15.75" customHeight="1">
      <c r="A114" s="2">
        <v>113.0</v>
      </c>
      <c r="B114" s="3" t="str">
        <f>Inputs!$B$2+Inputs!$B$6*A114</f>
        <v>279.10</v>
      </c>
      <c r="C114" s="3" t="str">
        <f>B114*Inputs!$B$5</f>
        <v>139.55</v>
      </c>
      <c r="D114" s="3" t="str">
        <f>Inputs!$B$8*(B114/Inputs!$B$2)</f>
        <v>4.19</v>
      </c>
      <c r="E114" s="3" t="str">
        <f>D114*Inputs!$B$9</f>
        <v>185.46</v>
      </c>
      <c r="F114" s="3" t="str">
        <f>Inputs!$B$10</f>
        <v>20.00</v>
      </c>
      <c r="G114" s="3" t="str">
        <f>Inputs!$B$11</f>
        <v>30.00</v>
      </c>
      <c r="H114" s="3" t="str">
        <f>Inputs!$B$12/30</f>
        <v>50.00</v>
      </c>
      <c r="I114" s="3" t="str">
        <f t="shared" si="1"/>
        <v>285.46</v>
      </c>
      <c r="J114" s="3" t="str">
        <f>Inputs!$B$6*Inputs!$B$7</f>
        <v>0.35</v>
      </c>
      <c r="K114" s="3" t="str">
        <f>C114*Inputs!$B$4</f>
        <v>94,894.00</v>
      </c>
      <c r="L114" s="3" t="str">
        <f t="shared" si="2"/>
        <v>29,313.73</v>
      </c>
      <c r="M114" s="3" t="str">
        <f>Inputs!$B$3+L114</f>
        <v>109,313.73</v>
      </c>
      <c r="N114" s="3" t="str">
        <f t="shared" si="3"/>
        <v>-14,419.73</v>
      </c>
      <c r="O114" s="6" t="str">
        <f t="shared" si="4"/>
        <v>-13.19%</v>
      </c>
    </row>
    <row r="115" ht="15.75" customHeight="1">
      <c r="A115" s="2">
        <v>114.0</v>
      </c>
      <c r="B115" s="3" t="str">
        <f>Inputs!$B$2+Inputs!$B$6*A115</f>
        <v>279.80</v>
      </c>
      <c r="C115" s="3" t="str">
        <f>B115*Inputs!$B$5</f>
        <v>139.90</v>
      </c>
      <c r="D115" s="3" t="str">
        <f>Inputs!$B$8*(B115/Inputs!$B$2)</f>
        <v>4.20</v>
      </c>
      <c r="E115" s="3" t="str">
        <f>D115*Inputs!$B$9</f>
        <v>185.93</v>
      </c>
      <c r="F115" s="3" t="str">
        <f>Inputs!$B$10</f>
        <v>20.00</v>
      </c>
      <c r="G115" s="3" t="str">
        <f>Inputs!$B$11</f>
        <v>30.00</v>
      </c>
      <c r="H115" s="3" t="str">
        <f>Inputs!$B$12/30</f>
        <v>50.00</v>
      </c>
      <c r="I115" s="3" t="str">
        <f t="shared" si="1"/>
        <v>285.93</v>
      </c>
      <c r="J115" s="3" t="str">
        <f>Inputs!$B$6*Inputs!$B$7</f>
        <v>0.35</v>
      </c>
      <c r="K115" s="3" t="str">
        <f>C115*Inputs!$B$4</f>
        <v>95,132.00</v>
      </c>
      <c r="L115" s="3" t="str">
        <f t="shared" si="2"/>
        <v>29,599.66</v>
      </c>
      <c r="M115" s="3" t="str">
        <f>Inputs!$B$3+L115</f>
        <v>109,599.66</v>
      </c>
      <c r="N115" s="3" t="str">
        <f t="shared" si="3"/>
        <v>-14,467.66</v>
      </c>
      <c r="O115" s="6" t="str">
        <f t="shared" si="4"/>
        <v>-13.20%</v>
      </c>
    </row>
    <row r="116" ht="15.75" customHeight="1">
      <c r="A116" s="2">
        <v>115.0</v>
      </c>
      <c r="B116" s="3" t="str">
        <f>Inputs!$B$2+Inputs!$B$6*A116</f>
        <v>280.50</v>
      </c>
      <c r="C116" s="3" t="str">
        <f>B116*Inputs!$B$5</f>
        <v>140.25</v>
      </c>
      <c r="D116" s="3" t="str">
        <f>Inputs!$B$8*(B116/Inputs!$B$2)</f>
        <v>4.21</v>
      </c>
      <c r="E116" s="3" t="str">
        <f>D116*Inputs!$B$9</f>
        <v>186.39</v>
      </c>
      <c r="F116" s="3" t="str">
        <f>Inputs!$B$10</f>
        <v>20.00</v>
      </c>
      <c r="G116" s="3" t="str">
        <f>Inputs!$B$11</f>
        <v>30.00</v>
      </c>
      <c r="H116" s="3" t="str">
        <f>Inputs!$B$12/30</f>
        <v>50.00</v>
      </c>
      <c r="I116" s="3" t="str">
        <f t="shared" si="1"/>
        <v>286.39</v>
      </c>
      <c r="J116" s="3" t="str">
        <f>Inputs!$B$6*Inputs!$B$7</f>
        <v>0.35</v>
      </c>
      <c r="K116" s="3" t="str">
        <f>C116*Inputs!$B$4</f>
        <v>95,370.00</v>
      </c>
      <c r="L116" s="3" t="str">
        <f t="shared" si="2"/>
        <v>29,886.05</v>
      </c>
      <c r="M116" s="3" t="str">
        <f>Inputs!$B$3+L116</f>
        <v>109,886.05</v>
      </c>
      <c r="N116" s="3" t="str">
        <f t="shared" si="3"/>
        <v>-14,516.05</v>
      </c>
      <c r="O116" s="6" t="str">
        <f t="shared" si="4"/>
        <v>-13.21%</v>
      </c>
    </row>
    <row r="117" ht="15.75" customHeight="1">
      <c r="A117" s="2">
        <v>116.0</v>
      </c>
      <c r="B117" s="3" t="str">
        <f>Inputs!$B$2+Inputs!$B$6*A117</f>
        <v>281.20</v>
      </c>
      <c r="C117" s="3" t="str">
        <f>B117*Inputs!$B$5</f>
        <v>140.60</v>
      </c>
      <c r="D117" s="3" t="str">
        <f>Inputs!$B$8*(B117/Inputs!$B$2)</f>
        <v>4.22</v>
      </c>
      <c r="E117" s="3" t="str">
        <f>D117*Inputs!$B$9</f>
        <v>186.86</v>
      </c>
      <c r="F117" s="3" t="str">
        <f>Inputs!$B$10</f>
        <v>20.00</v>
      </c>
      <c r="G117" s="3" t="str">
        <f>Inputs!$B$11</f>
        <v>30.00</v>
      </c>
      <c r="H117" s="3" t="str">
        <f>Inputs!$B$12/30</f>
        <v>50.00</v>
      </c>
      <c r="I117" s="3" t="str">
        <f t="shared" si="1"/>
        <v>286.86</v>
      </c>
      <c r="J117" s="3" t="str">
        <f>Inputs!$B$6*Inputs!$B$7</f>
        <v>0.35</v>
      </c>
      <c r="K117" s="3" t="str">
        <f>C117*Inputs!$B$4</f>
        <v>95,608.00</v>
      </c>
      <c r="L117" s="3" t="str">
        <f t="shared" si="2"/>
        <v>30,172.91</v>
      </c>
      <c r="M117" s="3" t="str">
        <f>Inputs!$B$3+L117</f>
        <v>110,172.91</v>
      </c>
      <c r="N117" s="3" t="str">
        <f t="shared" si="3"/>
        <v>-14,564.91</v>
      </c>
      <c r="O117" s="6" t="str">
        <f t="shared" si="4"/>
        <v>-13.22%</v>
      </c>
    </row>
    <row r="118" ht="15.75" customHeight="1">
      <c r="A118" s="2">
        <v>117.0</v>
      </c>
      <c r="B118" s="3" t="str">
        <f>Inputs!$B$2+Inputs!$B$6*A118</f>
        <v>281.90</v>
      </c>
      <c r="C118" s="3" t="str">
        <f>B118*Inputs!$B$5</f>
        <v>140.95</v>
      </c>
      <c r="D118" s="3" t="str">
        <f>Inputs!$B$8*(B118/Inputs!$B$2)</f>
        <v>4.23</v>
      </c>
      <c r="E118" s="3" t="str">
        <f>D118*Inputs!$B$9</f>
        <v>187.32</v>
      </c>
      <c r="F118" s="3" t="str">
        <f>Inputs!$B$10</f>
        <v>20.00</v>
      </c>
      <c r="G118" s="3" t="str">
        <f>Inputs!$B$11</f>
        <v>30.00</v>
      </c>
      <c r="H118" s="3" t="str">
        <f>Inputs!$B$12/30</f>
        <v>50.00</v>
      </c>
      <c r="I118" s="3" t="str">
        <f t="shared" si="1"/>
        <v>287.32</v>
      </c>
      <c r="J118" s="3" t="str">
        <f>Inputs!$B$6*Inputs!$B$7</f>
        <v>0.35</v>
      </c>
      <c r="K118" s="3" t="str">
        <f>C118*Inputs!$B$4</f>
        <v>95,846.00</v>
      </c>
      <c r="L118" s="3" t="str">
        <f t="shared" si="2"/>
        <v>30,460.23</v>
      </c>
      <c r="M118" s="3" t="str">
        <f>Inputs!$B$3+L118</f>
        <v>110,460.23</v>
      </c>
      <c r="N118" s="3" t="str">
        <f t="shared" si="3"/>
        <v>-14,614.23</v>
      </c>
      <c r="O118" s="6" t="str">
        <f t="shared" si="4"/>
        <v>-13.23%</v>
      </c>
    </row>
    <row r="119" ht="15.75" customHeight="1">
      <c r="A119" s="2">
        <v>118.0</v>
      </c>
      <c r="B119" s="3" t="str">
        <f>Inputs!$B$2+Inputs!$B$6*A119</f>
        <v>282.60</v>
      </c>
      <c r="C119" s="3" t="str">
        <f>B119*Inputs!$B$5</f>
        <v>141.30</v>
      </c>
      <c r="D119" s="3" t="str">
        <f>Inputs!$B$8*(B119/Inputs!$B$2)</f>
        <v>4.24</v>
      </c>
      <c r="E119" s="3" t="str">
        <f>D119*Inputs!$B$9</f>
        <v>187.79</v>
      </c>
      <c r="F119" s="3" t="str">
        <f>Inputs!$B$10</f>
        <v>20.00</v>
      </c>
      <c r="G119" s="3" t="str">
        <f>Inputs!$B$11</f>
        <v>30.00</v>
      </c>
      <c r="H119" s="3" t="str">
        <f>Inputs!$B$12/30</f>
        <v>50.00</v>
      </c>
      <c r="I119" s="3" t="str">
        <f t="shared" si="1"/>
        <v>287.79</v>
      </c>
      <c r="J119" s="3" t="str">
        <f>Inputs!$B$6*Inputs!$B$7</f>
        <v>0.35</v>
      </c>
      <c r="K119" s="3" t="str">
        <f>C119*Inputs!$B$4</f>
        <v>96,084.00</v>
      </c>
      <c r="L119" s="3" t="str">
        <f t="shared" si="2"/>
        <v>30,748.02</v>
      </c>
      <c r="M119" s="3" t="str">
        <f>Inputs!$B$3+L119</f>
        <v>110,748.02</v>
      </c>
      <c r="N119" s="3" t="str">
        <f t="shared" si="3"/>
        <v>-14,664.02</v>
      </c>
      <c r="O119" s="6" t="str">
        <f t="shared" si="4"/>
        <v>-13.24%</v>
      </c>
    </row>
    <row r="120" ht="15.75" customHeight="1">
      <c r="A120" s="2">
        <v>119.0</v>
      </c>
      <c r="B120" s="3" t="str">
        <f>Inputs!$B$2+Inputs!$B$6*A120</f>
        <v>283.30</v>
      </c>
      <c r="C120" s="3" t="str">
        <f>B120*Inputs!$B$5</f>
        <v>141.65</v>
      </c>
      <c r="D120" s="3" t="str">
        <f>Inputs!$B$8*(B120/Inputs!$B$2)</f>
        <v>4.25</v>
      </c>
      <c r="E120" s="3" t="str">
        <f>D120*Inputs!$B$9</f>
        <v>188.25</v>
      </c>
      <c r="F120" s="3" t="str">
        <f>Inputs!$B$10</f>
        <v>20.00</v>
      </c>
      <c r="G120" s="3" t="str">
        <f>Inputs!$B$11</f>
        <v>30.00</v>
      </c>
      <c r="H120" s="3" t="str">
        <f>Inputs!$B$12/30</f>
        <v>50.00</v>
      </c>
      <c r="I120" s="3" t="str">
        <f t="shared" si="1"/>
        <v>288.25</v>
      </c>
      <c r="J120" s="3" t="str">
        <f>Inputs!$B$6*Inputs!$B$7</f>
        <v>0.35</v>
      </c>
      <c r="K120" s="3" t="str">
        <f>C120*Inputs!$B$4</f>
        <v>96,322.00</v>
      </c>
      <c r="L120" s="3" t="str">
        <f t="shared" si="2"/>
        <v>31,036.27</v>
      </c>
      <c r="M120" s="3" t="str">
        <f>Inputs!$B$3+L120</f>
        <v>111,036.27</v>
      </c>
      <c r="N120" s="3" t="str">
        <f t="shared" si="3"/>
        <v>-14,714.27</v>
      </c>
      <c r="O120" s="6" t="str">
        <f t="shared" si="4"/>
        <v>-13.25%</v>
      </c>
    </row>
    <row r="121" ht="15.75" customHeight="1">
      <c r="A121" s="2">
        <v>120.0</v>
      </c>
      <c r="B121" s="3" t="str">
        <f>Inputs!$B$2+Inputs!$B$6*A121</f>
        <v>284.00</v>
      </c>
      <c r="C121" s="3" t="str">
        <f>B121*Inputs!$B$5</f>
        <v>142.00</v>
      </c>
      <c r="D121" s="3" t="str">
        <f>Inputs!$B$8*(B121/Inputs!$B$2)</f>
        <v>4.26</v>
      </c>
      <c r="E121" s="3" t="str">
        <f>D121*Inputs!$B$9</f>
        <v>188.72</v>
      </c>
      <c r="F121" s="3" t="str">
        <f>Inputs!$B$10</f>
        <v>20.00</v>
      </c>
      <c r="G121" s="3" t="str">
        <f>Inputs!$B$11</f>
        <v>30.00</v>
      </c>
      <c r="H121" s="3" t="str">
        <f>Inputs!$B$12/30</f>
        <v>50.00</v>
      </c>
      <c r="I121" s="3" t="str">
        <f t="shared" si="1"/>
        <v>288.72</v>
      </c>
      <c r="J121" s="3" t="str">
        <f>Inputs!$B$6*Inputs!$B$7</f>
        <v>0.35</v>
      </c>
      <c r="K121" s="3" t="str">
        <f>C121*Inputs!$B$4</f>
        <v>96,560.00</v>
      </c>
      <c r="L121" s="3" t="str">
        <f t="shared" si="2"/>
        <v>31,324.99</v>
      </c>
      <c r="M121" s="3" t="str">
        <f>Inputs!$B$3+L121</f>
        <v>111,324.99</v>
      </c>
      <c r="N121" s="3" t="str">
        <f t="shared" si="3"/>
        <v>-14,764.99</v>
      </c>
      <c r="O121" s="6" t="str">
        <f t="shared" si="4"/>
        <v>-13.26%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21.78"/>
    <col customWidth="1" min="3" max="11" width="6.78"/>
  </cols>
  <sheetData>
    <row r="1">
      <c r="A1" s="1" t="s">
        <v>39</v>
      </c>
      <c r="B1" s="1" t="s">
        <v>40</v>
      </c>
    </row>
    <row r="2">
      <c r="A2" s="2" t="s">
        <v>41</v>
      </c>
      <c r="B2" s="3" t="str">
        <f>Inputs!B2</f>
        <v>200.00</v>
      </c>
    </row>
    <row r="3">
      <c r="A3" s="2" t="s">
        <v>42</v>
      </c>
      <c r="B3" s="3" t="str">
        <f t="array" ref="B3">INDEX('Daily Projection'!B:B,Inputs!B13+1)</f>
        <v>284.00</v>
      </c>
    </row>
    <row r="4">
      <c r="A4" s="2" t="s">
        <v>43</v>
      </c>
      <c r="B4" s="3" t="str">
        <f>B3-B2</f>
        <v>84.00</v>
      </c>
    </row>
    <row r="5">
      <c r="A5" s="2" t="s">
        <v>44</v>
      </c>
      <c r="B5" s="3" t="str">
        <f>Inputs!B3</f>
        <v>80,000.00</v>
      </c>
    </row>
    <row r="6">
      <c r="A6" s="2" t="s">
        <v>45</v>
      </c>
      <c r="B6" s="3" t="str">
        <f>SUM('Daily Projection'!E2:E121)</f>
        <v>19,324.99</v>
      </c>
    </row>
    <row r="7">
      <c r="A7" s="2" t="s">
        <v>46</v>
      </c>
      <c r="B7" s="3" t="str">
        <f>SUM('Daily Projection'!F2:F121)</f>
        <v>2,400.00</v>
      </c>
    </row>
    <row r="8">
      <c r="A8" s="2" t="s">
        <v>47</v>
      </c>
      <c r="B8" s="3" t="str">
        <f>SUM('Daily Projection'!G2:G121)</f>
        <v>3,600.00</v>
      </c>
    </row>
    <row r="9">
      <c r="A9" s="2" t="s">
        <v>48</v>
      </c>
      <c r="B9" s="3" t="str">
        <f>SUM('Daily Projection'!H2:H121)</f>
        <v>6,000.00</v>
      </c>
    </row>
    <row r="10">
      <c r="A10" s="2" t="s">
        <v>49</v>
      </c>
      <c r="B10" s="3" t="str">
        <f>SUM('Daily Projection'!I2:I121)</f>
        <v>31,324.99</v>
      </c>
    </row>
    <row r="11">
      <c r="A11" s="2" t="s">
        <v>50</v>
      </c>
      <c r="B11" s="3" t="str">
        <f>B5+B10</f>
        <v>111,324.99</v>
      </c>
    </row>
    <row r="12">
      <c r="A12" s="2" t="s">
        <v>51</v>
      </c>
      <c r="B12" s="3" t="str">
        <f t="array" ref="B12">INDEX('Daily Projection'!C:C,Inputs!B13+1)</f>
        <v>142.00</v>
      </c>
    </row>
    <row r="13">
      <c r="A13" s="2" t="s">
        <v>52</v>
      </c>
      <c r="B13" s="3" t="str">
        <f t="array" ref="B13">INDEX('Daily Projection'!K:K,Inputs!B13+1)</f>
        <v>96,560.00</v>
      </c>
    </row>
    <row r="14">
      <c r="A14" s="2" t="s">
        <v>37</v>
      </c>
      <c r="B14" s="3" t="str">
        <f>B13-B11</f>
        <v>-14,764.99</v>
      </c>
    </row>
    <row r="15">
      <c r="A15" s="2" t="s">
        <v>38</v>
      </c>
      <c r="B15" s="6" t="str">
        <f>IF(B11=0,0,B14/B11)</f>
        <v>-13.26%</v>
      </c>
    </row>
    <row r="16">
      <c r="A16" s="2" t="s">
        <v>53</v>
      </c>
      <c r="B16" s="3" t="str">
        <f>B11/B3</f>
        <v>391.99</v>
      </c>
    </row>
    <row r="17">
      <c r="A17" s="2" t="s">
        <v>54</v>
      </c>
      <c r="B17" s="3" t="str">
        <f>Inputs!B4</f>
        <v>680.00</v>
      </c>
    </row>
    <row r="18">
      <c r="A18" s="2"/>
      <c r="B18" s="2"/>
    </row>
    <row r="19">
      <c r="A19" s="7" t="s">
        <v>55</v>
      </c>
      <c r="B19" s="7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2026-08-23T18:35:12Z</dcterms:created>
  <dc:creator>openpyxl</dc:creator>
  <dcterms:modified xsi:type="dcterms:W3CDTF">2026-08-23T18:35:12Z</dcterms:modified>
</cp:coreProperties>
</file>